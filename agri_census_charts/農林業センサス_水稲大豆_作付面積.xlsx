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_rels/sheet3.xml.rels" ContentType="application/vnd.openxmlformats-package.relationships+xml"/>
  <Override PartName="/xl/worksheets/_rels/sheet2.xml.rels" ContentType="application/vnd.openxmlformats-package.relationships+xml"/>
  <Override PartName="/xl/worksheets/_rels/sheet1.xml.rels" ContentType="application/vnd.openxmlformats-package.relationship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  <Override PartName="/xl/drawings/_rels/drawing2.xml.rels" ContentType="application/vnd.openxmlformats-package.relationships+xml"/>
  <Override PartName="/xl/drawings/_rels/drawing1.xml.rels" ContentType="application/vnd.openxmlformats-package.relationship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_rels/workbook.xml.rels" ContentType="application/vnd.openxmlformats-package.relationships+xml"/>
  <Override PartName="/xl/media/image1.png" ContentType="image/png"/>
  <Override PartName="/xl/media/image2.png" ContentType="image/png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水稲" sheetId="1" state="visible" r:id="rId3"/>
    <sheet name="大豆" sheetId="2" state="visible" r:id="rId4"/>
    <sheet name="出典・注記" sheetId="3" state="visible" r:id="rId5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<sst xmlns="http://schemas.openxmlformats.org/spreadsheetml/2006/main" count="49" uniqueCount="32">
  <si>
    <r>
      <rPr>
        <b val="true"/>
        <sz val="13"/>
        <rFont val="WenQuanYi Zen Hei"/>
        <family val="2"/>
      </rPr>
      <t xml:space="preserve">水稲：作付面積と</t>
    </r>
    <r>
      <rPr>
        <b val="true"/>
        <sz val="13"/>
        <rFont val="Meiryo"/>
        <family val="0"/>
        <charset val="1"/>
      </rPr>
      <t xml:space="preserve">1</t>
    </r>
    <r>
      <rPr>
        <b val="true"/>
        <sz val="13"/>
        <rFont val="WenQuanYi Zen Hei"/>
        <family val="2"/>
      </rPr>
      <t xml:space="preserve">経営体当たり平均作付面積（全国）</t>
    </r>
  </si>
  <si>
    <t xml:space="preserve">年</t>
  </si>
  <si>
    <r>
      <rPr>
        <b val="true"/>
        <sz val="10"/>
        <rFont val="WenQuanYi Zen Hei"/>
        <family val="2"/>
      </rPr>
      <t xml:space="preserve">作付面積（</t>
    </r>
    <r>
      <rPr>
        <b val="true"/>
        <sz val="10"/>
        <rFont val="Meiryo"/>
        <family val="0"/>
        <charset val="1"/>
      </rPr>
      <t xml:space="preserve">ha</t>
    </r>
    <r>
      <rPr>
        <b val="true"/>
        <sz val="10"/>
        <rFont val="WenQuanYi Zen Hei"/>
        <family val="2"/>
      </rPr>
      <t xml:space="preserve">）</t>
    </r>
  </si>
  <si>
    <r>
      <rPr>
        <b val="true"/>
        <sz val="10"/>
        <rFont val="WenQuanYi Zen Hei"/>
        <family val="2"/>
      </rPr>
      <t xml:space="preserve">作付面積（千</t>
    </r>
    <r>
      <rPr>
        <b val="true"/>
        <sz val="10"/>
        <rFont val="Meiryo"/>
        <family val="0"/>
        <charset val="1"/>
      </rPr>
      <t xml:space="preserve">ha</t>
    </r>
    <r>
      <rPr>
        <b val="true"/>
        <sz val="10"/>
        <rFont val="WenQuanYi Zen Hei"/>
        <family val="2"/>
      </rPr>
      <t xml:space="preserve">）</t>
    </r>
  </si>
  <si>
    <t xml:space="preserve">作付経営体数（経営体）</t>
  </si>
  <si>
    <r>
      <rPr>
        <b val="true"/>
        <sz val="10"/>
        <rFont val="WenQuanYi Zen Hei"/>
        <family val="2"/>
      </rPr>
      <t xml:space="preserve">平均作付面積（</t>
    </r>
    <r>
      <rPr>
        <b val="true"/>
        <sz val="10"/>
        <rFont val="Meiryo"/>
        <family val="0"/>
        <charset val="1"/>
      </rPr>
      <t xml:space="preserve">ha</t>
    </r>
    <r>
      <rPr>
        <b val="true"/>
        <sz val="10"/>
        <rFont val="WenQuanYi Zen Hei"/>
        <family val="2"/>
      </rPr>
      <t xml:space="preserve">／経営体）</t>
    </r>
  </si>
  <si>
    <t xml:space="preserve">出典</t>
  </si>
  <si>
    <r>
      <rPr>
        <sz val="10"/>
        <color rgb="FF0000FF"/>
        <rFont val="Meiryo"/>
        <family val="0"/>
        <charset val="1"/>
      </rPr>
      <t xml:space="preserve">2005</t>
    </r>
    <r>
      <rPr>
        <sz val="10"/>
        <color rgb="FF0000FF"/>
        <rFont val="WenQuanYi Zen Hei"/>
        <family val="2"/>
      </rPr>
      <t xml:space="preserve">年</t>
    </r>
  </si>
  <si>
    <r>
      <rPr>
        <sz val="10"/>
        <color rgb="FF000000"/>
        <rFont val="WenQuanYi Zen Hei"/>
        <family val="2"/>
      </rPr>
      <t xml:space="preserve">累年統計 表</t>
    </r>
    <r>
      <rPr>
        <sz val="10"/>
        <color rgb="FF000000"/>
        <rFont val="Meiryo"/>
        <family val="0"/>
        <charset val="1"/>
      </rPr>
      <t xml:space="preserve">2-13</t>
    </r>
    <r>
      <rPr>
        <sz val="10"/>
        <color rgb="FF000000"/>
        <rFont val="WenQuanYi Zen Hei"/>
        <family val="2"/>
      </rPr>
      <t xml:space="preserve">（平成</t>
    </r>
    <r>
      <rPr>
        <sz val="10"/>
        <color rgb="FF000000"/>
        <rFont val="Meiryo"/>
        <family val="0"/>
        <charset val="1"/>
      </rPr>
      <t xml:space="preserve">17</t>
    </r>
    <r>
      <rPr>
        <sz val="10"/>
        <color rgb="FF000000"/>
        <rFont val="WenQuanYi Zen Hei"/>
        <family val="2"/>
      </rPr>
      <t xml:space="preserve">年）</t>
    </r>
  </si>
  <si>
    <r>
      <rPr>
        <sz val="10"/>
        <color rgb="FF0000FF"/>
        <rFont val="Meiryo"/>
        <family val="0"/>
        <charset val="1"/>
      </rPr>
      <t xml:space="preserve">2010</t>
    </r>
    <r>
      <rPr>
        <sz val="10"/>
        <color rgb="FF0000FF"/>
        <rFont val="WenQuanYi Zen Hei"/>
        <family val="2"/>
      </rPr>
      <t xml:space="preserve">年</t>
    </r>
  </si>
  <si>
    <r>
      <rPr>
        <sz val="10"/>
        <color rgb="FF000000"/>
        <rFont val="WenQuanYi Zen Hei"/>
        <family val="2"/>
      </rPr>
      <t xml:space="preserve">累年統計 表</t>
    </r>
    <r>
      <rPr>
        <sz val="10"/>
        <color rgb="FF000000"/>
        <rFont val="Meiryo"/>
        <family val="0"/>
        <charset val="1"/>
      </rPr>
      <t xml:space="preserve">2-13</t>
    </r>
    <r>
      <rPr>
        <sz val="10"/>
        <color rgb="FF000000"/>
        <rFont val="WenQuanYi Zen Hei"/>
        <family val="2"/>
      </rPr>
      <t xml:space="preserve">（平成</t>
    </r>
    <r>
      <rPr>
        <sz val="10"/>
        <color rgb="FF000000"/>
        <rFont val="Meiryo"/>
        <family val="0"/>
        <charset val="1"/>
      </rPr>
      <t xml:space="preserve">22</t>
    </r>
    <r>
      <rPr>
        <sz val="10"/>
        <color rgb="FF000000"/>
        <rFont val="WenQuanYi Zen Hei"/>
        <family val="2"/>
      </rPr>
      <t xml:space="preserve">年）</t>
    </r>
  </si>
  <si>
    <r>
      <rPr>
        <sz val="10"/>
        <color rgb="FF0000FF"/>
        <rFont val="Meiryo"/>
        <family val="0"/>
        <charset val="1"/>
      </rPr>
      <t xml:space="preserve">2015</t>
    </r>
    <r>
      <rPr>
        <sz val="10"/>
        <color rgb="FF0000FF"/>
        <rFont val="WenQuanYi Zen Hei"/>
        <family val="2"/>
      </rPr>
      <t xml:space="preserve">年</t>
    </r>
  </si>
  <si>
    <r>
      <rPr>
        <sz val="10"/>
        <color rgb="FF000000"/>
        <rFont val="WenQuanYi Zen Hei"/>
        <family val="2"/>
      </rPr>
      <t xml:space="preserve">累年統計 表</t>
    </r>
    <r>
      <rPr>
        <sz val="10"/>
        <color rgb="FF000000"/>
        <rFont val="Meiryo"/>
        <family val="0"/>
        <charset val="1"/>
      </rPr>
      <t xml:space="preserve">2-13</t>
    </r>
    <r>
      <rPr>
        <sz val="10"/>
        <color rgb="FF000000"/>
        <rFont val="WenQuanYi Zen Hei"/>
        <family val="2"/>
      </rPr>
      <t xml:space="preserve">（平成</t>
    </r>
    <r>
      <rPr>
        <sz val="10"/>
        <color rgb="FF000000"/>
        <rFont val="Meiryo"/>
        <family val="0"/>
        <charset val="1"/>
      </rPr>
      <t xml:space="preserve">27</t>
    </r>
    <r>
      <rPr>
        <sz val="10"/>
        <color rgb="FF000000"/>
        <rFont val="WenQuanYi Zen Hei"/>
        <family val="2"/>
      </rPr>
      <t xml:space="preserve">年）</t>
    </r>
  </si>
  <si>
    <r>
      <rPr>
        <sz val="10"/>
        <color rgb="FF0000FF"/>
        <rFont val="Meiryo"/>
        <family val="0"/>
        <charset val="1"/>
      </rPr>
      <t xml:space="preserve">2020</t>
    </r>
    <r>
      <rPr>
        <sz val="10"/>
        <color rgb="FF0000FF"/>
        <rFont val="WenQuanYi Zen Hei"/>
        <family val="2"/>
      </rPr>
      <t xml:space="preserve">年</t>
    </r>
  </si>
  <si>
    <r>
      <rPr>
        <sz val="10"/>
        <color rgb="FF000000"/>
        <rFont val="WenQuanYi Zen Hei"/>
        <family val="2"/>
      </rPr>
      <t xml:space="preserve">累年統計 表</t>
    </r>
    <r>
      <rPr>
        <sz val="10"/>
        <color rgb="FF000000"/>
        <rFont val="Meiryo"/>
        <family val="0"/>
        <charset val="1"/>
      </rPr>
      <t xml:space="preserve">2-13</t>
    </r>
    <r>
      <rPr>
        <sz val="10"/>
        <color rgb="FF000000"/>
        <rFont val="WenQuanYi Zen Hei"/>
        <family val="2"/>
      </rPr>
      <t xml:space="preserve">（令和</t>
    </r>
    <r>
      <rPr>
        <sz val="10"/>
        <color rgb="FF000000"/>
        <rFont val="Meiryo"/>
        <family val="0"/>
        <charset val="1"/>
      </rPr>
      <t xml:space="preserve">2</t>
    </r>
    <r>
      <rPr>
        <sz val="10"/>
        <color rgb="FF000000"/>
        <rFont val="WenQuanYi Zen Hei"/>
        <family val="2"/>
      </rPr>
      <t xml:space="preserve">年）</t>
    </r>
  </si>
  <si>
    <r>
      <rPr>
        <sz val="10"/>
        <color rgb="FF0000FF"/>
        <rFont val="Meiryo"/>
        <family val="0"/>
        <charset val="1"/>
      </rPr>
      <t xml:space="preserve">2025</t>
    </r>
    <r>
      <rPr>
        <sz val="10"/>
        <color rgb="FF0000FF"/>
        <rFont val="WenQuanYi Zen Hei"/>
        <family val="2"/>
      </rPr>
      <t xml:space="preserve">年</t>
    </r>
  </si>
  <si>
    <r>
      <rPr>
        <sz val="10"/>
        <color rgb="FF000000"/>
        <rFont val="Meiryo"/>
        <family val="0"/>
        <charset val="1"/>
      </rPr>
      <t xml:space="preserve">2025</t>
    </r>
    <r>
      <rPr>
        <sz val="10"/>
        <color rgb="FF000000"/>
        <rFont val="WenQuanYi Zen Hei"/>
        <family val="2"/>
      </rPr>
      <t xml:space="preserve">年センサス 総括編 表Ⅱ</t>
    </r>
    <r>
      <rPr>
        <sz val="10"/>
        <color rgb="FF000000"/>
        <rFont val="Meiryo"/>
        <family val="0"/>
        <charset val="1"/>
      </rPr>
      <t xml:space="preserve">-13 </t>
    </r>
    <r>
      <rPr>
        <sz val="10"/>
        <color rgb="FF000000"/>
        <rFont val="WenQuanYi Zen Hei"/>
        <family val="2"/>
      </rPr>
      <t xml:space="preserve">水稲（食用）</t>
    </r>
  </si>
  <si>
    <t xml:space="preserve">※ 青字＝出典からの転記値、黒字＝数式による計算値。出典の詳細は「出典・注記」シート。</t>
  </si>
  <si>
    <r>
      <rPr>
        <b val="true"/>
        <sz val="13"/>
        <rFont val="WenQuanYi Zen Hei"/>
        <family val="2"/>
      </rPr>
      <t xml:space="preserve">大豆：作付面積と</t>
    </r>
    <r>
      <rPr>
        <b val="true"/>
        <sz val="13"/>
        <rFont val="Meiryo"/>
        <family val="0"/>
        <charset val="1"/>
      </rPr>
      <t xml:space="preserve">1</t>
    </r>
    <r>
      <rPr>
        <b val="true"/>
        <sz val="13"/>
        <rFont val="WenQuanYi Zen Hei"/>
        <family val="2"/>
      </rPr>
      <t xml:space="preserve">経営体当たり平均作付面積（全国）</t>
    </r>
  </si>
  <si>
    <r>
      <rPr>
        <sz val="10"/>
        <color rgb="FF000000"/>
        <rFont val="Meiryo"/>
        <family val="0"/>
        <charset val="1"/>
      </rPr>
      <t xml:space="preserve">2025</t>
    </r>
    <r>
      <rPr>
        <sz val="10"/>
        <color rgb="FF000000"/>
        <rFont val="WenQuanYi Zen Hei"/>
        <family val="2"/>
      </rPr>
      <t xml:space="preserve">年センサス 総括編 表Ⅱ</t>
    </r>
    <r>
      <rPr>
        <sz val="10"/>
        <color rgb="FF000000"/>
        <rFont val="Meiryo"/>
        <family val="0"/>
        <charset val="1"/>
      </rPr>
      <t xml:space="preserve">-16</t>
    </r>
  </si>
  <si>
    <r>
      <rPr>
        <sz val="10"/>
        <color rgb="FF000000"/>
        <rFont val="Meiryo"/>
        <family val="0"/>
        <charset val="1"/>
      </rPr>
      <t xml:space="preserve">2005</t>
    </r>
    <r>
      <rPr>
        <sz val="10"/>
        <color rgb="FF000000"/>
        <rFont val="WenQuanYi Zen Hei"/>
        <family val="2"/>
      </rPr>
      <t xml:space="preserve">〜</t>
    </r>
    <r>
      <rPr>
        <sz val="10"/>
        <color rgb="FF000000"/>
        <rFont val="Meiryo"/>
        <family val="0"/>
        <charset val="1"/>
      </rPr>
      <t xml:space="preserve">2020</t>
    </r>
    <r>
      <rPr>
        <sz val="10"/>
        <color rgb="FF000000"/>
        <rFont val="WenQuanYi Zen Hei"/>
        <family val="2"/>
      </rPr>
      <t xml:space="preserve">年</t>
    </r>
  </si>
  <si>
    <r>
      <rPr>
        <sz val="10"/>
        <color rgb="FF000000"/>
        <rFont val="WenQuanYi Zen Hei"/>
        <family val="2"/>
      </rPr>
      <t xml:space="preserve">農林水産省「農林業センサス累年統計‐農業編‐」表</t>
    </r>
    <r>
      <rPr>
        <sz val="10"/>
        <color rgb="FF000000"/>
        <rFont val="Meiryo"/>
        <family val="0"/>
        <charset val="1"/>
      </rPr>
      <t xml:space="preserve">2-13 </t>
    </r>
    <r>
      <rPr>
        <sz val="10"/>
        <color rgb="FF000000"/>
        <rFont val="WenQuanYi Zen Hei"/>
        <family val="2"/>
      </rPr>
      <t xml:space="preserve">販売目的の作物の作物別作付（栽培）経営体数と作付（栽培）面積</t>
    </r>
  </si>
  <si>
    <t xml:space="preserve">https://www.e-stat.go.jp/stat-search/files?page=1&amp;layout=datalist&amp;lid=000001407063</t>
  </si>
  <si>
    <r>
      <rPr>
        <sz val="10"/>
        <color rgb="FF000000"/>
        <rFont val="Meiryo"/>
        <family val="0"/>
        <charset val="1"/>
      </rPr>
      <t xml:space="preserve">2025</t>
    </r>
    <r>
      <rPr>
        <sz val="10"/>
        <color rgb="FF000000"/>
        <rFont val="WenQuanYi Zen Hei"/>
        <family val="2"/>
      </rPr>
      <t xml:space="preserve">年</t>
    </r>
  </si>
  <si>
    <r>
      <rPr>
        <sz val="10"/>
        <color rgb="FF000000"/>
        <rFont val="WenQuanYi Zen Hei"/>
        <family val="2"/>
      </rPr>
      <t xml:space="preserve">農林水産省「</t>
    </r>
    <r>
      <rPr>
        <sz val="10"/>
        <color rgb="FF000000"/>
        <rFont val="Meiryo"/>
        <family val="0"/>
        <charset val="1"/>
      </rPr>
      <t xml:space="preserve">2025</t>
    </r>
    <r>
      <rPr>
        <sz val="10"/>
        <color rgb="FF000000"/>
        <rFont val="WenQuanYi Zen Hei"/>
        <family val="2"/>
      </rPr>
      <t xml:space="preserve">年農林業センサス（確定値）第</t>
    </r>
    <r>
      <rPr>
        <sz val="10"/>
        <color rgb="FF000000"/>
        <rFont val="Meiryo"/>
        <family val="0"/>
        <charset val="1"/>
      </rPr>
      <t xml:space="preserve">2</t>
    </r>
    <r>
      <rPr>
        <sz val="10"/>
        <color rgb="FF000000"/>
        <rFont val="WenQuanYi Zen Hei"/>
        <family val="2"/>
      </rPr>
      <t xml:space="preserve">巻 総括編」表Ⅱ</t>
    </r>
    <r>
      <rPr>
        <sz val="10"/>
        <color rgb="FF000000"/>
        <rFont val="Meiryo"/>
        <family val="0"/>
        <charset val="1"/>
      </rPr>
      <t xml:space="preserve">-13 </t>
    </r>
    <r>
      <rPr>
        <sz val="10"/>
        <color rgb="FF000000"/>
        <rFont val="WenQuanYi Zen Hei"/>
        <family val="2"/>
      </rPr>
      <t xml:space="preserve">水稲（食用）／表Ⅱ</t>
    </r>
    <r>
      <rPr>
        <sz val="10"/>
        <color rgb="FF000000"/>
        <rFont val="Meiryo"/>
        <family val="0"/>
        <charset val="1"/>
      </rPr>
      <t xml:space="preserve">-16 </t>
    </r>
    <r>
      <rPr>
        <sz val="10"/>
        <color rgb="FF000000"/>
        <rFont val="WenQuanYi Zen Hei"/>
        <family val="2"/>
      </rPr>
      <t xml:space="preserve">大豆</t>
    </r>
  </si>
  <si>
    <t xml:space="preserve">https://www.e-stat.go.jp/stat-search/files?page=1&amp;layout=datalist&amp;lid=000001487916</t>
  </si>
  <si>
    <t xml:space="preserve">注記</t>
  </si>
  <si>
    <t xml:space="preserve">・全国・農業経営体ベース、販売目的で作付けした面積と経営体数。</t>
  </si>
  <si>
    <t xml:space="preserve">・センサスの集計単位は「農家戸数」ではなく「農業経営体」。</t>
  </si>
  <si>
    <r>
      <rPr>
        <sz val="10"/>
        <color rgb="FF000000"/>
        <rFont val="WenQuanYi Zen Hei"/>
        <family val="2"/>
      </rPr>
      <t xml:space="preserve">・平均作付面積（</t>
    </r>
    <r>
      <rPr>
        <sz val="10"/>
        <color rgb="FF000000"/>
        <rFont val="Meiryo"/>
        <family val="0"/>
        <charset val="1"/>
      </rPr>
      <t xml:space="preserve">ha</t>
    </r>
    <r>
      <rPr>
        <sz val="10"/>
        <color rgb="FF000000"/>
        <rFont val="WenQuanYi Zen Hei"/>
        <family val="2"/>
      </rPr>
      <t xml:space="preserve">／経営体）＝作付面積</t>
    </r>
    <r>
      <rPr>
        <sz val="10"/>
        <color rgb="FF000000"/>
        <rFont val="Meiryo"/>
        <family val="0"/>
        <charset val="1"/>
      </rPr>
      <t xml:space="preserve">÷</t>
    </r>
    <r>
      <rPr>
        <sz val="10"/>
        <color rgb="FF000000"/>
        <rFont val="WenQuanYi Zen Hei"/>
        <family val="2"/>
      </rPr>
      <t xml:space="preserve">作付経営体数（シート内の数式で計算）。</t>
    </r>
  </si>
  <si>
    <t xml:space="preserve">・作物統計（毎年の作付面積統計）とは対象範囲が異なるため、数値は一致しない。</t>
  </si>
  <si>
    <t xml:space="preserve">・青字＝出典からの転記値、黒字＝数式による計算値。</t>
  </si>
</sst>
</file>

<file path=xl/styles.xml><?xml version="1.0" encoding="utf-8"?>
<styleSheet xmlns="http://schemas.openxmlformats.org/spreadsheetml/2006/main">
  <numFmts count="5">
    <numFmt numFmtId="164" formatCode="General"/>
    <numFmt numFmtId="165" formatCode="@"/>
    <numFmt numFmtId="166" formatCode="#,##0"/>
    <numFmt numFmtId="167" formatCode="#,##0.0"/>
    <numFmt numFmtId="168" formatCode="0.00"/>
  </numFmts>
  <fonts count="15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3"/>
      <name val="WenQuanYi Zen Hei"/>
      <family val="2"/>
    </font>
    <font>
      <b val="true"/>
      <sz val="13"/>
      <name val="Meiryo"/>
      <family val="0"/>
      <charset val="1"/>
    </font>
    <font>
      <b val="true"/>
      <sz val="10"/>
      <name val="WenQuanYi Zen Hei"/>
      <family val="2"/>
    </font>
    <font>
      <b val="true"/>
      <sz val="10"/>
      <name val="Meiryo"/>
      <family val="0"/>
      <charset val="1"/>
    </font>
    <font>
      <sz val="10"/>
      <color rgb="FF0000FF"/>
      <name val="Meiryo"/>
      <family val="0"/>
      <charset val="1"/>
    </font>
    <font>
      <sz val="10"/>
      <color rgb="FF0000FF"/>
      <name val="WenQuanYi Zen Hei"/>
      <family val="2"/>
    </font>
    <font>
      <sz val="10"/>
      <color rgb="FF000000"/>
      <name val="Meiryo"/>
      <family val="0"/>
      <charset val="1"/>
    </font>
    <font>
      <sz val="10"/>
      <color rgb="FF000000"/>
      <name val="WenQuanYi Zen Hei"/>
      <family val="2"/>
    </font>
    <font>
      <sz val="9"/>
      <color rgb="FF5B6470"/>
      <name val="WenQuanYi Zen Hei"/>
      <family val="2"/>
    </font>
    <font>
      <b val="true"/>
      <sz val="12"/>
      <name val="WenQuanYi Zen Hei"/>
      <family val="2"/>
    </font>
    <font>
      <u val="single"/>
      <sz val="10"/>
      <color rgb="FF0563C1"/>
      <name val="Meiryo"/>
      <family val="0"/>
      <charset val="1"/>
    </font>
  </fonts>
  <fills count="3">
    <fill>
      <patternFill patternType="none"/>
    </fill>
    <fill>
      <patternFill patternType="gray125"/>
    </fill>
    <fill>
      <patternFill patternType="solid">
        <fgColor rgb="FFE8EDE3"/>
        <bgColor rgb="FFFFFFFF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B8BEC6"/>
      </left>
      <right style="thin">
        <color rgb="FFB8BEC6"/>
      </right>
      <top style="thin">
        <color rgb="FFB8BEC6"/>
      </top>
      <bottom style="thin">
        <color rgb="FFB8BEC6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4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5" fontId="8" fillId="0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6" fontId="8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7" fontId="10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8" fontId="10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11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10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2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3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1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8BEC6"/>
      <rgbColor rgb="FF808080"/>
      <rgbColor rgb="FF9999FF"/>
      <rgbColor rgb="FF993366"/>
      <rgbColor rgb="FFE8EDE3"/>
      <rgbColor rgb="FFCCFFFF"/>
      <rgbColor rgb="FF660066"/>
      <rgbColor rgb="FFFF8080"/>
      <rgbColor rgb="FF0563C1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5B6470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sharedStrings" Target="sharedStrings.xml"/>
</Relationships>
</file>

<file path=xl/drawings/_rels/drawing1.xml.rels><?xml version="1.0" encoding="UTF-8"?>
<Relationships xmlns="http://schemas.openxmlformats.org/package/2006/relationships"><Relationship Id="rId1" Type="http://schemas.openxmlformats.org/officeDocument/2006/relationships/image" Target="../media/image1.png"/>
</Relationships>
</file>

<file path=xl/drawings/_rels/drawing2.xml.rels><?xml version="1.0" encoding="UTF-8"?>
<Relationships xmlns="http://schemas.openxmlformats.org/package/2006/relationships"><Relationship Id="rId1" Type="http://schemas.openxmlformats.org/officeDocument/2006/relationships/image" Target="../media/image2.png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0</xdr:col>
      <xdr:colOff>0</xdr:colOff>
      <xdr:row>10</xdr:row>
      <xdr:rowOff>163080</xdr:rowOff>
    </xdr:from>
    <xdr:to>
      <xdr:col>5</xdr:col>
      <xdr:colOff>2228760</xdr:colOff>
      <xdr:row>37</xdr:row>
      <xdr:rowOff>163080</xdr:rowOff>
    </xdr:to>
    <xdr:pic>
      <xdr:nvPicPr>
        <xdr:cNvPr id="0" name="Image 1" descr="Picture"/>
        <xdr:cNvPicPr/>
      </xdr:nvPicPr>
      <xdr:blipFill>
        <a:blip r:embed="rId1"/>
        <a:stretch/>
      </xdr:blipFill>
      <xdr:spPr>
        <a:xfrm>
          <a:off x="0" y="2305080"/>
          <a:ext cx="8572320" cy="5143320"/>
        </a:xfrm>
        <a:prstGeom prst="rect">
          <a:avLst/>
        </a:prstGeom>
        <a:ln w="0">
          <a:noFill/>
        </a:ln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0</xdr:col>
      <xdr:colOff>0</xdr:colOff>
      <xdr:row>10</xdr:row>
      <xdr:rowOff>163080</xdr:rowOff>
    </xdr:from>
    <xdr:to>
      <xdr:col>5</xdr:col>
      <xdr:colOff>2228760</xdr:colOff>
      <xdr:row>37</xdr:row>
      <xdr:rowOff>163080</xdr:rowOff>
    </xdr:to>
    <xdr:pic>
      <xdr:nvPicPr>
        <xdr:cNvPr id="1" name="Image 1" descr="Picture"/>
        <xdr:cNvPicPr/>
      </xdr:nvPicPr>
      <xdr:blipFill>
        <a:blip r:embed="rId1"/>
        <a:stretch/>
      </xdr:blipFill>
      <xdr:spPr>
        <a:xfrm>
          <a:off x="0" y="2305080"/>
          <a:ext cx="8572320" cy="5143320"/>
        </a:xfrm>
        <a:prstGeom prst="rect">
          <a:avLst/>
        </a:prstGeom>
        <a:ln w="0">
          <a:noFill/>
        </a:ln>
      </xdr:spPr>
    </xdr:pic>
    <xdr:clientData/>
  </xdr:twoCellAnchor>
</xdr:wsDr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1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_rels/sheet2.xml.rels><?xml version="1.0" encoding="UTF-8"?>
<Relationships xmlns="http://schemas.openxmlformats.org/package/2006/relationships"><Relationship Id="rId1" Type="http://schemas.openxmlformats.org/officeDocument/2006/relationships/drawing" Target="../drawings/drawing2.xml"/>
</Relationships>
</file>

<file path=xl/worksheets/_rels/sheet3.xml.rels><?xml version="1.0" encoding="UTF-8"?>
<Relationships xmlns="http://schemas.openxmlformats.org/package/2006/relationships"><Relationship Id="rId1" Type="http://schemas.openxmlformats.org/officeDocument/2006/relationships/hyperlink" Target="https://www.e-stat.go.jp/stat-search/files?page=1&amp;layout=datalist&amp;lid=000001407063" TargetMode="External"/><Relationship Id="rId2" Type="http://schemas.openxmlformats.org/officeDocument/2006/relationships/hyperlink" Target="https://www.e-stat.go.jp/stat-search/files?page=1&amp;layout=datalist&amp;lid=000001487916" TargetMode="Externa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10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0" ySplit="3" topLeftCell="A4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0"/>
    <col collapsed="false" customWidth="true" hidden="false" outlineLevel="0" max="3" min="2" style="0" width="16"/>
    <col collapsed="false" customWidth="true" hidden="false" outlineLevel="0" max="4" min="4" style="0" width="22"/>
    <col collapsed="false" customWidth="true" hidden="false" outlineLevel="0" max="5" min="5" style="0" width="26"/>
    <col collapsed="false" customWidth="true" hidden="false" outlineLevel="0" max="6" min="6" style="0" width="44"/>
  </cols>
  <sheetData>
    <row r="1" customFormat="false" ht="17.15" hidden="false" customHeight="false" outlineLevel="0" collapsed="false">
      <c r="A1" s="1" t="s">
        <v>0</v>
      </c>
    </row>
    <row r="3" customFormat="false" ht="31.5" hidden="false" customHeight="true" outlineLevel="0" collapsed="false">
      <c r="A3" s="2" t="s">
        <v>1</v>
      </c>
      <c r="B3" s="2" t="s">
        <v>2</v>
      </c>
      <c r="C3" s="2" t="s">
        <v>3</v>
      </c>
      <c r="D3" s="2" t="s">
        <v>4</v>
      </c>
      <c r="E3" s="2" t="s">
        <v>5</v>
      </c>
      <c r="F3" s="2" t="s">
        <v>6</v>
      </c>
    </row>
    <row r="4" customFormat="false" ht="15" hidden="false" customHeight="false" outlineLevel="0" collapsed="false">
      <c r="A4" s="3" t="s">
        <v>7</v>
      </c>
      <c r="B4" s="4" t="n">
        <v>1385702</v>
      </c>
      <c r="C4" s="5" t="n">
        <f aca="false">B4/1000</f>
        <v>1385.702</v>
      </c>
      <c r="D4" s="4" t="n">
        <v>1406612</v>
      </c>
      <c r="E4" s="6" t="n">
        <f aca="false">IFERROR(B4/D4,"")</f>
        <v>0.985134493378416</v>
      </c>
      <c r="F4" s="7" t="s">
        <v>8</v>
      </c>
    </row>
    <row r="5" customFormat="false" ht="15" hidden="false" customHeight="false" outlineLevel="0" collapsed="false">
      <c r="A5" s="3" t="s">
        <v>9</v>
      </c>
      <c r="B5" s="4" t="n">
        <v>1368682</v>
      </c>
      <c r="C5" s="5" t="n">
        <f aca="false">B5/1000</f>
        <v>1368.682</v>
      </c>
      <c r="D5" s="4" t="n">
        <v>1169297</v>
      </c>
      <c r="E5" s="6" t="n">
        <f aca="false">IFERROR(B5/D5,"")</f>
        <v>1.17051698584705</v>
      </c>
      <c r="F5" s="7" t="s">
        <v>10</v>
      </c>
    </row>
    <row r="6" customFormat="false" ht="15" hidden="false" customHeight="false" outlineLevel="0" collapsed="false">
      <c r="A6" s="3" t="s">
        <v>11</v>
      </c>
      <c r="B6" s="4" t="n">
        <v>1312013</v>
      </c>
      <c r="C6" s="5" t="n">
        <f aca="false">B6/1000</f>
        <v>1312.013</v>
      </c>
      <c r="D6" s="4" t="n">
        <v>952292</v>
      </c>
      <c r="E6" s="6" t="n">
        <f aca="false">IFERROR(B6/D6,"")</f>
        <v>1.37774233113373</v>
      </c>
      <c r="F6" s="7" t="s">
        <v>12</v>
      </c>
    </row>
    <row r="7" customFormat="false" ht="15" hidden="false" customHeight="false" outlineLevel="0" collapsed="false">
      <c r="A7" s="3" t="s">
        <v>13</v>
      </c>
      <c r="B7" s="4" t="n">
        <v>1285654</v>
      </c>
      <c r="C7" s="5" t="n">
        <f aca="false">B7/1000</f>
        <v>1285.654</v>
      </c>
      <c r="D7" s="4" t="n">
        <v>713792</v>
      </c>
      <c r="E7" s="6" t="n">
        <f aca="false">IFERROR(B7/D7,"")</f>
        <v>1.80116056218058</v>
      </c>
      <c r="F7" s="7" t="s">
        <v>14</v>
      </c>
    </row>
    <row r="8" customFormat="false" ht="15" hidden="false" customHeight="false" outlineLevel="0" collapsed="false">
      <c r="A8" s="3" t="s">
        <v>15</v>
      </c>
      <c r="B8" s="4" t="n">
        <v>1188243</v>
      </c>
      <c r="C8" s="5" t="n">
        <f aca="false">B8/1000</f>
        <v>1188.243</v>
      </c>
      <c r="D8" s="4" t="n">
        <v>538322</v>
      </c>
      <c r="E8" s="6" t="n">
        <f aca="false">IFERROR(B8/D8,"")</f>
        <v>2.20730900836302</v>
      </c>
      <c r="F8" s="8" t="s">
        <v>16</v>
      </c>
    </row>
    <row r="10" customFormat="false" ht="15" hidden="false" customHeight="false" outlineLevel="0" collapsed="false">
      <c r="A10" s="9" t="s">
        <v>17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10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3" topLeftCell="A4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0"/>
    <col collapsed="false" customWidth="true" hidden="false" outlineLevel="0" max="3" min="2" style="0" width="16"/>
    <col collapsed="false" customWidth="true" hidden="false" outlineLevel="0" max="4" min="4" style="0" width="22"/>
    <col collapsed="false" customWidth="true" hidden="false" outlineLevel="0" max="5" min="5" style="0" width="26"/>
    <col collapsed="false" customWidth="true" hidden="false" outlineLevel="0" max="6" min="6" style="0" width="44"/>
  </cols>
  <sheetData>
    <row r="1" customFormat="false" ht="17.15" hidden="false" customHeight="false" outlineLevel="0" collapsed="false">
      <c r="A1" s="1" t="s">
        <v>18</v>
      </c>
    </row>
    <row r="3" customFormat="false" ht="31.5" hidden="false" customHeight="true" outlineLevel="0" collapsed="false">
      <c r="A3" s="2" t="s">
        <v>1</v>
      </c>
      <c r="B3" s="2" t="s">
        <v>2</v>
      </c>
      <c r="C3" s="2" t="s">
        <v>3</v>
      </c>
      <c r="D3" s="2" t="s">
        <v>4</v>
      </c>
      <c r="E3" s="2" t="s">
        <v>5</v>
      </c>
      <c r="F3" s="2" t="s">
        <v>6</v>
      </c>
    </row>
    <row r="4" customFormat="false" ht="15" hidden="false" customHeight="false" outlineLevel="0" collapsed="false">
      <c r="A4" s="3" t="s">
        <v>7</v>
      </c>
      <c r="B4" s="4" t="n">
        <v>99053</v>
      </c>
      <c r="C4" s="5" t="n">
        <f aca="false">B4/1000</f>
        <v>99.053</v>
      </c>
      <c r="D4" s="4" t="n">
        <v>154802</v>
      </c>
      <c r="E4" s="6" t="n">
        <f aca="false">IFERROR(B4/D4,"")</f>
        <v>0.639868993940647</v>
      </c>
      <c r="F4" s="7" t="s">
        <v>8</v>
      </c>
    </row>
    <row r="5" customFormat="false" ht="15" hidden="false" customHeight="false" outlineLevel="0" collapsed="false">
      <c r="A5" s="3" t="s">
        <v>9</v>
      </c>
      <c r="B5" s="4" t="n">
        <v>123517</v>
      </c>
      <c r="C5" s="5" t="n">
        <f aca="false">B5/1000</f>
        <v>123.517</v>
      </c>
      <c r="D5" s="4" t="n">
        <v>98937</v>
      </c>
      <c r="E5" s="6" t="n">
        <f aca="false">IFERROR(B5/D5,"")</f>
        <v>1.24844092705459</v>
      </c>
      <c r="F5" s="7" t="s">
        <v>10</v>
      </c>
    </row>
    <row r="6" customFormat="false" ht="15" hidden="false" customHeight="false" outlineLevel="0" collapsed="false">
      <c r="A6" s="3" t="s">
        <v>11</v>
      </c>
      <c r="B6" s="4" t="n">
        <v>119697</v>
      </c>
      <c r="C6" s="5" t="n">
        <f aca="false">B6/1000</f>
        <v>119.697</v>
      </c>
      <c r="D6" s="4" t="n">
        <v>70837</v>
      </c>
      <c r="E6" s="6" t="n">
        <f aca="false">IFERROR(B6/D6,"")</f>
        <v>1.68975253045725</v>
      </c>
      <c r="F6" s="7" t="s">
        <v>12</v>
      </c>
    </row>
    <row r="7" customFormat="false" ht="15" hidden="false" customHeight="false" outlineLevel="0" collapsed="false">
      <c r="A7" s="3" t="s">
        <v>13</v>
      </c>
      <c r="B7" s="4" t="n">
        <v>132084</v>
      </c>
      <c r="C7" s="5" t="n">
        <f aca="false">B7/1000</f>
        <v>132.084</v>
      </c>
      <c r="D7" s="4" t="n">
        <v>49731</v>
      </c>
      <c r="E7" s="6" t="n">
        <f aca="false">IFERROR(B7/D7,"")</f>
        <v>2.65596911383242</v>
      </c>
      <c r="F7" s="7" t="s">
        <v>14</v>
      </c>
    </row>
    <row r="8" customFormat="false" ht="15" hidden="false" customHeight="false" outlineLevel="0" collapsed="false">
      <c r="A8" s="3" t="s">
        <v>15</v>
      </c>
      <c r="B8" s="4" t="n">
        <v>136525</v>
      </c>
      <c r="C8" s="5" t="n">
        <f aca="false">B8/1000</f>
        <v>136.525</v>
      </c>
      <c r="D8" s="4" t="n">
        <v>35633</v>
      </c>
      <c r="E8" s="6" t="n">
        <f aca="false">IFERROR(B8/D8,"")</f>
        <v>3.83142031263155</v>
      </c>
      <c r="F8" s="8" t="s">
        <v>19</v>
      </c>
    </row>
    <row r="10" customFormat="false" ht="15" hidden="false" customHeight="false" outlineLevel="0" collapsed="false">
      <c r="A10" s="9" t="s">
        <v>17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C10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4"/>
    <col collapsed="false" customWidth="true" hidden="false" outlineLevel="0" max="2" min="2" style="0" width="90"/>
    <col collapsed="false" customWidth="true" hidden="false" outlineLevel="0" max="3" min="3" style="0" width="60"/>
  </cols>
  <sheetData>
    <row r="1" customFormat="false" ht="15" hidden="false" customHeight="false" outlineLevel="0" collapsed="false">
      <c r="A1" s="10" t="s">
        <v>6</v>
      </c>
    </row>
    <row r="2" customFormat="false" ht="14.15" hidden="false" customHeight="false" outlineLevel="0" collapsed="false">
      <c r="A2" s="11" t="s">
        <v>20</v>
      </c>
      <c r="B2" s="12" t="s">
        <v>21</v>
      </c>
      <c r="C2" s="13" t="s">
        <v>22</v>
      </c>
    </row>
    <row r="3" customFormat="false" ht="14.15" hidden="false" customHeight="false" outlineLevel="0" collapsed="false">
      <c r="A3" s="11" t="s">
        <v>23</v>
      </c>
      <c r="B3" s="12" t="s">
        <v>24</v>
      </c>
      <c r="C3" s="13" t="s">
        <v>25</v>
      </c>
    </row>
    <row r="5" customFormat="false" ht="15" hidden="false" customHeight="false" outlineLevel="0" collapsed="false">
      <c r="A5" s="10" t="s">
        <v>26</v>
      </c>
    </row>
    <row r="6" customFormat="false" ht="15" hidden="false" customHeight="false" outlineLevel="0" collapsed="false">
      <c r="A6" s="12" t="s">
        <v>27</v>
      </c>
    </row>
    <row r="7" customFormat="false" ht="15" hidden="false" customHeight="false" outlineLevel="0" collapsed="false">
      <c r="A7" s="12" t="s">
        <v>28</v>
      </c>
    </row>
    <row r="8" customFormat="false" ht="15" hidden="false" customHeight="false" outlineLevel="0" collapsed="false">
      <c r="A8" s="12" t="s">
        <v>29</v>
      </c>
    </row>
    <row r="9" customFormat="false" ht="15" hidden="false" customHeight="false" outlineLevel="0" collapsed="false">
      <c r="A9" s="12" t="s">
        <v>30</v>
      </c>
    </row>
    <row r="10" customFormat="false" ht="15" hidden="false" customHeight="false" outlineLevel="0" collapsed="false">
      <c r="A10" s="12" t="s">
        <v>31</v>
      </c>
    </row>
  </sheetData>
  <hyperlinks>
    <hyperlink ref="C2" r:id="rId1" display="https://www.e-stat.go.jp/stat-search/files?page=1&amp;layout=datalist&amp;lid=000001407063"/>
    <hyperlink ref="C3" r:id="rId2" display="https://www.e-stat.go.jp/stat-search/files?page=1&amp;layout=datalist&amp;lid=000001487916"/>
  </hyperlink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2026-10-27T04:51:36Z</dcterms:created>
  <dc:creator>openpyxl</dc:creator>
  <dc:description/>
  <dc:language>en-US</dc:language>
  <cp:lastModifiedBy/>
  <dcterms:modified xsi:type="dcterms:W3CDTF">2026-10-27T04:51:36Z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