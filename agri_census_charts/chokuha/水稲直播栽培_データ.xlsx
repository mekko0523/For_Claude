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直播面積推移" sheetId="1" state="visible" r:id="rId3"/>
    <sheet name="移植と直播" sheetId="2" state="visible" r:id="rId4"/>
    <sheet name="地域別普及率" sheetId="3" state="visible" r:id="rId5"/>
    <sheet name="規模別経営体数" sheetId="4" state="visible" r:id="rId6"/>
    <sheet name="出典・注記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<sst xmlns="http://schemas.openxmlformats.org/spreadsheetml/2006/main" count="126" uniqueCount="92">
  <si>
    <r>
      <rPr>
        <b val="true"/>
        <sz val="13"/>
        <rFont val="WenQuanYi Zen Hei"/>
        <family val="2"/>
      </rPr>
      <t xml:space="preserve">水稲の直播栽培面積の推移（全国、</t>
    </r>
    <r>
      <rPr>
        <b val="true"/>
        <sz val="13"/>
        <rFont val="Meiryo"/>
        <family val="0"/>
        <charset val="1"/>
      </rPr>
      <t xml:space="preserve">1995</t>
    </r>
    <r>
      <rPr>
        <b val="true"/>
        <sz val="13"/>
        <rFont val="WenQuanYi Zen Hei"/>
        <family val="2"/>
      </rPr>
      <t xml:space="preserve">〜</t>
    </r>
    <r>
      <rPr>
        <b val="true"/>
        <sz val="13"/>
        <rFont val="Meiryo"/>
        <family val="0"/>
        <charset val="1"/>
      </rPr>
      <t xml:space="preserve">2024</t>
    </r>
    <r>
      <rPr>
        <b val="true"/>
        <sz val="13"/>
        <rFont val="WenQuanYi Zen Hei"/>
        <family val="2"/>
      </rPr>
      <t xml:space="preserve">年）</t>
    </r>
  </si>
  <si>
    <r>
      <rPr>
        <sz val="9"/>
        <color rgb="FF5B6470"/>
        <rFont val="Meiryo"/>
        <family val="0"/>
        <charset val="1"/>
      </rPr>
      <t xml:space="preserve">2018</t>
    </r>
    <r>
      <rPr>
        <sz val="9"/>
        <color rgb="FF5B6470"/>
        <rFont val="WenQuanYi Zen Hei"/>
        <family val="2"/>
      </rPr>
      <t xml:space="preserve">年以前は農水省資料のグラフからの読取値（公表値との差</t>
    </r>
    <r>
      <rPr>
        <sz val="9"/>
        <color rgb="FF5B6470"/>
        <rFont val="Meiryo"/>
        <family val="0"/>
        <charset val="1"/>
      </rPr>
      <t xml:space="preserve">±25ha</t>
    </r>
    <r>
      <rPr>
        <sz val="9"/>
        <color rgb="FF5B6470"/>
        <rFont val="WenQuanYi Zen Hei"/>
        <family val="2"/>
      </rPr>
      <t xml:space="preserve">以内）、</t>
    </r>
    <r>
      <rPr>
        <sz val="9"/>
        <color rgb="FF5B6470"/>
        <rFont val="Meiryo"/>
        <family val="0"/>
        <charset val="1"/>
      </rPr>
      <t xml:space="preserve">2019</t>
    </r>
    <r>
      <rPr>
        <sz val="9"/>
        <color rgb="FF5B6470"/>
        <rFont val="WenQuanYi Zen Hei"/>
        <family val="2"/>
      </rPr>
      <t xml:space="preserve">年以降は公表値</t>
    </r>
  </si>
  <si>
    <t xml:space="preserve">年</t>
  </si>
  <si>
    <t xml:space="preserve">和暦</t>
  </si>
  <si>
    <r>
      <rPr>
        <b val="true"/>
        <sz val="10"/>
        <rFont val="WenQuanYi Zen Hei"/>
        <family val="2"/>
      </rPr>
      <t xml:space="preserve">乾田直播（</t>
    </r>
    <r>
      <rPr>
        <b val="true"/>
        <sz val="10"/>
        <rFont val="Meiryo"/>
        <family val="0"/>
        <charset val="1"/>
      </rPr>
      <t xml:space="preserve">ha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</si>
  <si>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湛水直播（</t>
    </r>
    <r>
      <rPr>
        <b val="true"/>
        <sz val="10"/>
        <rFont val="Meiryo"/>
        <family val="0"/>
        <charset val="1"/>
      </rPr>
      <t xml:space="preserve">ha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</si>
  <si>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直播合計（</t>
    </r>
    <r>
      <rPr>
        <b val="true"/>
        <sz val="10"/>
        <rFont val="Meiryo"/>
        <family val="0"/>
        <charset val="1"/>
      </rPr>
      <t xml:space="preserve">ha</t>
    </r>
    <r>
      <rPr>
        <b val="true"/>
        <sz val="10"/>
        <rFont val="WenQuanYi Zen Hei"/>
        <family val="2"/>
      </rPr>
      <t xml:space="preserve">）</t>
    </r>
  </si>
  <si>
    <t xml:space="preserve">直播に占める乾田直播の割合</t>
  </si>
  <si>
    <t xml:space="preserve">区分</t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</si>
  <si>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7</t>
    </r>
    <r>
      <rPr>
        <sz val="10"/>
        <color rgb="FF0000FF"/>
        <rFont val="WenQuanYi Zen Hei"/>
        <family val="2"/>
      </rPr>
      <t xml:space="preserve">年</t>
    </r>
  </si>
  <si>
    <t xml:space="preserve">読取値</t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</si>
  <si>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</si>
  <si>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9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</si>
  <si>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</si>
  <si>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11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</si>
  <si>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12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</si>
  <si>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13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</si>
  <si>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14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</si>
  <si>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15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</si>
  <si>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16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</si>
  <si>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17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</si>
  <si>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18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</si>
  <si>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19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</si>
  <si>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20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</si>
  <si>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21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</si>
  <si>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22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</si>
  <si>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23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</si>
  <si>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24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</si>
  <si>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25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</si>
  <si>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26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</si>
  <si>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27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</si>
  <si>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28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</si>
  <si>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29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</si>
  <si>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平成</t>
    </r>
    <r>
      <rPr>
        <sz val="10"/>
        <color rgb="FF0000FF"/>
        <rFont val="Meiryo"/>
        <family val="0"/>
        <charset val="1"/>
      </rPr>
      <t xml:space="preserve">30</t>
    </r>
    <r>
      <rPr>
        <sz val="10"/>
        <color rgb="FF0000FF"/>
        <rFont val="WenQuanYi Zen Hei"/>
        <family val="2"/>
      </rPr>
      <t xml:space="preserve">年</t>
    </r>
  </si>
  <si>
    <t xml:space="preserve">令和元年</t>
  </si>
  <si>
    <t xml:space="preserve">公表値</t>
  </si>
  <si>
    <r>
      <rPr>
        <sz val="10"/>
        <color rgb="FF0000FF"/>
        <rFont val="WenQuanYi Zen Hei"/>
        <family val="2"/>
      </rPr>
      <t xml:space="preserve">令和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</si>
  <si>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令和</t>
    </r>
    <r>
      <rPr>
        <sz val="10"/>
        <color rgb="FF0000FF"/>
        <rFont val="Meiryo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</si>
  <si>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令和</t>
    </r>
    <r>
      <rPr>
        <sz val="10"/>
        <color rgb="FF0000FF"/>
        <rFont val="Meiryo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</si>
  <si>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令和</t>
    </r>
    <r>
      <rPr>
        <sz val="10"/>
        <color rgb="FF0000FF"/>
        <rFont val="Meiryo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年</t>
    </r>
  </si>
  <si>
    <r>
      <rPr>
        <sz val="10"/>
        <color rgb="FF0000FF"/>
        <rFont val="WenQuanYi Zen Hei"/>
        <family val="2"/>
      </rPr>
      <t xml:space="preserve">令和</t>
    </r>
    <r>
      <rPr>
        <sz val="10"/>
        <color rgb="FF0000FF"/>
        <rFont val="Meiryo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年</t>
    </r>
  </si>
  <si>
    <t xml:space="preserve">※ 青字＝出典からの転記値、黒字＝数式による計算値。出典の詳細は「出典・注記」シート。</t>
  </si>
  <si>
    <r>
      <rPr>
        <b val="true"/>
        <sz val="13"/>
        <rFont val="WenQuanYi Zen Hei"/>
        <family val="2"/>
      </rPr>
      <t xml:space="preserve">移植栽培と直播栽培の面積の推移（全国、</t>
    </r>
    <r>
      <rPr>
        <b val="true"/>
        <sz val="13"/>
        <rFont val="Meiryo"/>
        <family val="0"/>
        <charset val="1"/>
      </rPr>
      <t xml:space="preserve">2019</t>
    </r>
    <r>
      <rPr>
        <b val="true"/>
        <sz val="13"/>
        <rFont val="WenQuanYi Zen Hei"/>
        <family val="2"/>
      </rPr>
      <t xml:space="preserve">〜</t>
    </r>
    <r>
      <rPr>
        <b val="true"/>
        <sz val="13"/>
        <rFont val="Meiryo"/>
        <family val="0"/>
        <charset val="1"/>
      </rPr>
      <t xml:space="preserve">2024</t>
    </r>
    <r>
      <rPr>
        <b val="true"/>
        <sz val="13"/>
        <rFont val="WenQuanYi Zen Hei"/>
        <family val="2"/>
      </rPr>
      <t xml:space="preserve">年）</t>
    </r>
  </si>
  <si>
    <r>
      <rPr>
        <sz val="9"/>
        <color rgb="FF5B6470"/>
        <rFont val="WenQuanYi Zen Hei"/>
        <family val="2"/>
      </rPr>
      <t xml:space="preserve">移植栽培面積＝水稲作付面積－直播栽培面積。水稲作付面積は飼料用米・</t>
    </r>
    <r>
      <rPr>
        <sz val="9"/>
        <color rgb="FF5B6470"/>
        <rFont val="Meiryo"/>
        <family val="0"/>
        <charset val="1"/>
      </rPr>
      <t xml:space="preserve">WCS</t>
    </r>
    <r>
      <rPr>
        <sz val="9"/>
        <color rgb="FF5B6470"/>
        <rFont val="WenQuanYi Zen Hei"/>
        <family val="2"/>
      </rPr>
      <t xml:space="preserve">用稲等を含む（農水省調査の値）</t>
    </r>
  </si>
  <si>
    <r>
      <rPr>
        <b val="true"/>
        <sz val="10"/>
        <rFont val="WenQuanYi Zen Hei"/>
        <family val="2"/>
      </rPr>
      <t xml:space="preserve">水稲作付面積（</t>
    </r>
    <r>
      <rPr>
        <b val="true"/>
        <sz val="10"/>
        <rFont val="Meiryo"/>
        <family val="0"/>
        <charset val="1"/>
      </rPr>
      <t xml:space="preserve">ha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</si>
  <si>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直播栽培面積（</t>
    </r>
    <r>
      <rPr>
        <b val="true"/>
        <sz val="10"/>
        <rFont val="Meiryo"/>
        <family val="0"/>
        <charset val="1"/>
      </rPr>
      <t xml:space="preserve">ha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</si>
  <si>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うち乾田直播（</t>
    </r>
    <r>
      <rPr>
        <b val="true"/>
        <sz val="10"/>
        <rFont val="Meiryo"/>
        <family val="0"/>
        <charset val="1"/>
      </rPr>
      <t xml:space="preserve">ha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</si>
  <si>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移植栽培面積（</t>
    </r>
    <r>
      <rPr>
        <b val="true"/>
        <sz val="10"/>
        <rFont val="Meiryo"/>
        <family val="0"/>
        <charset val="1"/>
      </rPr>
      <t xml:space="preserve">ha</t>
    </r>
    <r>
      <rPr>
        <b val="true"/>
        <sz val="10"/>
        <rFont val="WenQuanYi Zen Hei"/>
        <family val="2"/>
      </rPr>
      <t xml:space="preserve">）</t>
    </r>
  </si>
  <si>
    <t xml:space="preserve">直播の普及率</t>
  </si>
  <si>
    <r>
      <rPr>
        <b val="true"/>
        <sz val="10"/>
        <rFont val="WenQuanYi Zen Hei"/>
        <family val="2"/>
      </rPr>
      <t xml:space="preserve">移植 指数（</t>
    </r>
    <r>
      <rPr>
        <b val="true"/>
        <sz val="10"/>
        <rFont val="Meiryo"/>
        <family val="0"/>
        <charset val="1"/>
      </rPr>
      <t xml:space="preserve">2019=100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</si>
  <si>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直播 指数（</t>
    </r>
    <r>
      <rPr>
        <b val="true"/>
        <sz val="10"/>
        <rFont val="Meiryo"/>
        <family val="0"/>
        <charset val="1"/>
      </rPr>
      <t xml:space="preserve">2019=100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</si>
  <si>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乾田直播 指数（</t>
    </r>
    <r>
      <rPr>
        <b val="true"/>
        <sz val="10"/>
        <rFont val="Meiryo"/>
        <family val="0"/>
        <charset val="1"/>
      </rPr>
      <t xml:space="preserve">2019=100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</si>
  <si>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3"/>
        <rFont val="WenQuanYi Zen Hei"/>
        <family val="2"/>
      </rPr>
      <t xml:space="preserve">地域別の水稲直播栽培の普及率（</t>
    </r>
    <r>
      <rPr>
        <b val="true"/>
        <sz val="13"/>
        <rFont val="Meiryo"/>
        <family val="0"/>
        <charset val="1"/>
      </rPr>
      <t xml:space="preserve">2024</t>
    </r>
    <r>
      <rPr>
        <b val="true"/>
        <sz val="13"/>
        <rFont val="WenQuanYi Zen Hei"/>
        <family val="2"/>
      </rPr>
      <t xml:space="preserve">年産）</t>
    </r>
  </si>
  <si>
    <r>
      <rPr>
        <sz val="9"/>
        <color rgb="FF5B6470"/>
        <rFont val="WenQuanYi Zen Hei"/>
        <family val="2"/>
      </rPr>
      <t xml:space="preserve">普及率＝直播栽培面積</t>
    </r>
    <r>
      <rPr>
        <sz val="9"/>
        <color rgb="FF5B6470"/>
        <rFont val="Meiryo"/>
        <family val="0"/>
        <charset val="1"/>
      </rPr>
      <t xml:space="preserve">÷</t>
    </r>
    <r>
      <rPr>
        <sz val="9"/>
        <color rgb="FF5B6470"/>
        <rFont val="WenQuanYi Zen Hei"/>
        <family val="2"/>
      </rPr>
      <t xml:space="preserve">水稲作付面積（水稲作付面積は飼料用米・</t>
    </r>
    <r>
      <rPr>
        <sz val="9"/>
        <color rgb="FF5B6470"/>
        <rFont val="Meiryo"/>
        <family val="0"/>
        <charset val="1"/>
      </rPr>
      <t xml:space="preserve">WCS</t>
    </r>
    <r>
      <rPr>
        <sz val="9"/>
        <color rgb="FF5B6470"/>
        <rFont val="WenQuanYi Zen Hei"/>
        <family val="2"/>
      </rPr>
      <t xml:space="preserve">用稲等を含む）</t>
    </r>
  </si>
  <si>
    <t xml:space="preserve">地域</t>
  </si>
  <si>
    <t xml:space="preserve">普及率</t>
  </si>
  <si>
    <t xml:space="preserve">北海道</t>
  </si>
  <si>
    <t xml:space="preserve">東北</t>
  </si>
  <si>
    <t xml:space="preserve">北陸</t>
  </si>
  <si>
    <t xml:space="preserve">関東・東山</t>
  </si>
  <si>
    <t xml:space="preserve">東海</t>
  </si>
  <si>
    <t xml:space="preserve">近畿</t>
  </si>
  <si>
    <t xml:space="preserve">中国・四国</t>
  </si>
  <si>
    <t xml:space="preserve">九州</t>
  </si>
  <si>
    <t xml:space="preserve">全国（沖縄含む）</t>
  </si>
  <si>
    <t xml:space="preserve">販売目的の水稲（食用）作付面積規模別経営体数（全国）</t>
  </si>
  <si>
    <r>
      <rPr>
        <sz val="9"/>
        <color rgb="FF5B6470"/>
        <rFont val="WenQuanYi Zen Hei"/>
        <family val="2"/>
      </rPr>
      <t xml:space="preserve">原表の階層（</t>
    </r>
    <r>
      <rPr>
        <sz val="9"/>
        <color rgb="FF5B6470"/>
        <rFont val="Meiryo"/>
        <family val="0"/>
        <charset val="1"/>
      </rPr>
      <t xml:space="preserve">0.1ha</t>
    </r>
    <r>
      <rPr>
        <sz val="9"/>
        <color rgb="FF5B6470"/>
        <rFont val="WenQuanYi Zen Hei"/>
        <family val="2"/>
      </rPr>
      <t xml:space="preserve">未満〜</t>
    </r>
    <r>
      <rPr>
        <sz val="9"/>
        <color rgb="FF5B6470"/>
        <rFont val="Meiryo"/>
        <family val="0"/>
        <charset val="1"/>
      </rPr>
      <t xml:space="preserve">15ha</t>
    </r>
    <r>
      <rPr>
        <sz val="9"/>
        <color rgb="FF5B6470"/>
        <rFont val="WenQuanYi Zen Hei"/>
        <family val="2"/>
      </rPr>
      <t xml:space="preserve">以上の</t>
    </r>
    <r>
      <rPr>
        <sz val="9"/>
        <color rgb="FF5B6470"/>
        <rFont val="Meiryo"/>
        <family val="0"/>
        <charset val="1"/>
      </rPr>
      <t xml:space="preserve">12</t>
    </r>
    <r>
      <rPr>
        <sz val="9"/>
        <color rgb="FF5B6470"/>
        <rFont val="WenQuanYi Zen Hei"/>
        <family val="2"/>
      </rPr>
      <t xml:space="preserve">区分）を</t>
    </r>
    <r>
      <rPr>
        <sz val="9"/>
        <color rgb="FF5B6470"/>
        <rFont val="Meiryo"/>
        <family val="0"/>
        <charset val="1"/>
      </rPr>
      <t xml:space="preserve">6</t>
    </r>
    <r>
      <rPr>
        <sz val="9"/>
        <color rgb="FF5B6470"/>
        <rFont val="WenQuanYi Zen Hei"/>
        <family val="2"/>
      </rPr>
      <t xml:space="preserve">区分に合算</t>
    </r>
  </si>
  <si>
    <t xml:space="preserve">作付面積規模</t>
  </si>
  <si>
    <r>
      <rPr>
        <b val="true"/>
        <sz val="10"/>
        <rFont val="Meiryo"/>
        <family val="0"/>
        <charset val="1"/>
      </rPr>
      <t xml:space="preserve">2020</t>
    </r>
    <r>
      <rPr>
        <b val="true"/>
        <sz val="10"/>
        <rFont val="WenQuanYi Zen Hei"/>
        <family val="2"/>
      </rPr>
      <t xml:space="preserve">年（経営体）</t>
    </r>
  </si>
  <si>
    <r>
      <rPr>
        <b val="true"/>
        <sz val="10"/>
        <rFont val="Meiryo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年（経営体）</t>
    </r>
  </si>
  <si>
    <t xml:space="preserve">増減（経営体）</t>
  </si>
  <si>
    <t xml:space="preserve">増減率</t>
  </si>
  <si>
    <r>
      <rPr>
        <sz val="10"/>
        <color rgb="FF0000FF"/>
        <rFont val="Meiryo"/>
        <family val="0"/>
        <charset val="1"/>
      </rPr>
      <t xml:space="preserve">1.0ha</t>
    </r>
    <r>
      <rPr>
        <sz val="10"/>
        <color rgb="FF0000FF"/>
        <rFont val="WenQuanYi Zen Hei"/>
        <family val="2"/>
      </rPr>
      <t xml:space="preserve">未満</t>
    </r>
  </si>
  <si>
    <r>
      <rPr>
        <sz val="10"/>
        <color rgb="FF0000FF"/>
        <rFont val="Meiryo"/>
        <family val="0"/>
        <charset val="1"/>
      </rPr>
      <t xml:space="preserve">1.0</t>
    </r>
    <r>
      <rPr>
        <sz val="10"/>
        <color rgb="FF0000FF"/>
        <rFont val="WenQuanYi Zen Hei"/>
        <family val="2"/>
      </rPr>
      <t xml:space="preserve">〜</t>
    </r>
    <r>
      <rPr>
        <sz val="10"/>
        <color rgb="FF0000FF"/>
        <rFont val="Meiryo"/>
        <family val="0"/>
        <charset val="1"/>
      </rPr>
      <t xml:space="preserve">3.0ha</t>
    </r>
  </si>
  <si>
    <r>
      <rPr>
        <sz val="10"/>
        <color rgb="FF0000FF"/>
        <rFont val="Meiryo"/>
        <family val="0"/>
        <charset val="1"/>
      </rPr>
      <t xml:space="preserve">3.0</t>
    </r>
    <r>
      <rPr>
        <sz val="10"/>
        <color rgb="FF0000FF"/>
        <rFont val="WenQuanYi Zen Hei"/>
        <family val="2"/>
      </rPr>
      <t xml:space="preserve">〜</t>
    </r>
    <r>
      <rPr>
        <sz val="10"/>
        <color rgb="FF0000FF"/>
        <rFont val="Meiryo"/>
        <family val="0"/>
        <charset val="1"/>
      </rPr>
      <t xml:space="preserve">5.0ha</t>
    </r>
  </si>
  <si>
    <r>
      <rPr>
        <sz val="10"/>
        <color rgb="FF0000FF"/>
        <rFont val="Meiryo"/>
        <family val="0"/>
        <charset val="1"/>
      </rPr>
      <t xml:space="preserve">5.0</t>
    </r>
    <r>
      <rPr>
        <sz val="10"/>
        <color rgb="FF0000FF"/>
        <rFont val="WenQuanYi Zen Hei"/>
        <family val="2"/>
      </rPr>
      <t xml:space="preserve">〜</t>
    </r>
    <r>
      <rPr>
        <sz val="10"/>
        <color rgb="FF0000FF"/>
        <rFont val="Meiryo"/>
        <family val="0"/>
        <charset val="1"/>
      </rPr>
      <t xml:space="preserve">10.0ha</t>
    </r>
  </si>
  <si>
    <r>
      <rPr>
        <sz val="10"/>
        <color rgb="FF0000FF"/>
        <rFont val="Meiryo"/>
        <family val="0"/>
        <charset val="1"/>
      </rPr>
      <t xml:space="preserve">10.0</t>
    </r>
    <r>
      <rPr>
        <sz val="10"/>
        <color rgb="FF0000FF"/>
        <rFont val="WenQuanYi Zen Hei"/>
        <family val="2"/>
      </rPr>
      <t xml:space="preserve">〜</t>
    </r>
    <r>
      <rPr>
        <sz val="10"/>
        <color rgb="FF0000FF"/>
        <rFont val="Meiryo"/>
        <family val="0"/>
        <charset val="1"/>
      </rPr>
      <t xml:space="preserve">15.0ha</t>
    </r>
  </si>
  <si>
    <r>
      <rPr>
        <sz val="10"/>
        <color rgb="FF0000FF"/>
        <rFont val="Meiryo"/>
        <family val="0"/>
        <charset val="1"/>
      </rPr>
      <t xml:space="preserve">15.0ha</t>
    </r>
    <r>
      <rPr>
        <sz val="10"/>
        <color rgb="FF0000FF"/>
        <rFont val="WenQuanYi Zen Hei"/>
        <family val="2"/>
      </rPr>
      <t xml:space="preserve">以上</t>
    </r>
  </si>
  <si>
    <t xml:space="preserve">合計</t>
  </si>
  <si>
    <t xml:space="preserve">出典</t>
  </si>
  <si>
    <r>
      <rPr>
        <sz val="10"/>
        <rFont val="WenQuanYi Zen Hei"/>
        <family val="2"/>
      </rPr>
      <t xml:space="preserve">農林水産省「都道府県別、乾田湛水直播別水稲栽培面積」令和元年産〜令和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年産（令和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月データ訂正）</t>
    </r>
  </si>
  <si>
    <t xml:space="preserve">https://www.maff.go.jp/j/syouan/keikaku/soukatu/chokuha.html</t>
  </si>
  <si>
    <r>
      <rPr>
        <sz val="10"/>
        <rFont val="WenQuanYi Zen Hei"/>
        <family val="2"/>
      </rPr>
      <t xml:space="preserve">農林水産省「乾田直播・湛水直播の現状について」（令和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月）</t>
    </r>
    <r>
      <rPr>
        <sz val="10"/>
        <rFont val="Meiryo"/>
        <family val="0"/>
        <charset val="1"/>
      </rPr>
      <t xml:space="preserve">p.3</t>
    </r>
    <r>
      <rPr>
        <sz val="10"/>
        <rFont val="WenQuanYi Zen Hei"/>
        <family val="2"/>
      </rPr>
      <t xml:space="preserve">「水稲直播栽培面積の推移」</t>
    </r>
  </si>
  <si>
    <t xml:space="preserve">https://www.maff.go.jp/j/nousin/attach/pdf/tauehuyou_cs-20.pdf</t>
  </si>
  <si>
    <r>
      <rPr>
        <sz val="10"/>
        <rFont val="WenQuanYi Zen Hei"/>
        <family val="2"/>
      </rPr>
      <t xml:space="preserve">農林水産省「</t>
    </r>
    <r>
      <rPr>
        <sz val="10"/>
        <rFont val="Meiryo"/>
        <family val="0"/>
        <charset val="1"/>
      </rPr>
      <t xml:space="preserve">2025</t>
    </r>
    <r>
      <rPr>
        <sz val="10"/>
        <rFont val="WenQuanYi Zen Hei"/>
        <family val="2"/>
      </rPr>
      <t xml:space="preserve">年農林業センサス（確定値）」第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巻 総括編 表Ⅱ</t>
    </r>
    <r>
      <rPr>
        <sz val="10"/>
        <rFont val="Meiryo"/>
        <family val="0"/>
        <charset val="1"/>
      </rPr>
      <t xml:space="preserve">-14</t>
    </r>
  </si>
  <si>
    <t xml:space="preserve">https://www.e-stat.go.jp/stat-search/files?page=1&amp;layout=datalist&amp;lid=000001487916</t>
  </si>
  <si>
    <t xml:space="preserve">注記</t>
  </si>
  <si>
    <t xml:space="preserve">・直播栽培面積は都道府県への任意の聞き取り調査で、未回答の県もあり、統計としての精度は確保されていない（農水省注記）。</t>
  </si>
  <si>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2018</t>
    </r>
    <r>
      <rPr>
        <sz val="10"/>
        <rFont val="WenQuanYi Zen Hei"/>
        <family val="2"/>
      </rPr>
      <t xml:space="preserve">年以前の値は、上記資料</t>
    </r>
    <r>
      <rPr>
        <sz val="10"/>
        <rFont val="Meiryo"/>
        <family val="0"/>
        <charset val="1"/>
      </rPr>
      <t xml:space="preserve">p.3</t>
    </r>
    <r>
      <rPr>
        <sz val="10"/>
        <rFont val="WenQuanYi Zen Hei"/>
        <family val="2"/>
      </rPr>
      <t xml:space="preserve">の棒グラフ（ベクター図形）の長さを面積に換算した読取値。</t>
    </r>
    <r>
      <rPr>
        <sz val="10"/>
        <rFont val="Meiryo"/>
        <family val="0"/>
        <charset val="1"/>
      </rPr>
      <t xml:space="preserve">R1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R5</t>
    </r>
    <r>
      <rPr>
        <sz val="10"/>
        <rFont val="WenQuanYi Zen Hei"/>
        <family val="2"/>
      </rPr>
      <t xml:space="preserve">の公表値との差は</t>
    </r>
    <r>
      <rPr>
        <sz val="10"/>
        <rFont val="Meiryo"/>
        <family val="0"/>
        <charset val="1"/>
      </rPr>
      <t xml:space="preserve">±25ha</t>
    </r>
    <r>
      <rPr>
        <sz val="10"/>
        <rFont val="WenQuanYi Zen Hei"/>
        <family val="2"/>
      </rPr>
      <t xml:space="preserve">以内。</t>
    </r>
    <r>
      <rPr>
        <sz val="10"/>
        <rFont val="Meiryo"/>
        <family val="0"/>
        <charset val="1"/>
      </rPr>
      <t xml:space="preserve">10ha</t>
    </r>
    <r>
      <rPr>
        <sz val="10"/>
        <rFont val="WenQuanYi Zen Hei"/>
        <family val="2"/>
      </rPr>
      <t xml:space="preserve">単位に丸め。</t>
    </r>
  </si>
  <si>
    <r>
      <rPr>
        <sz val="10"/>
        <rFont val="WenQuanYi Zen Hei"/>
        <family val="2"/>
      </rPr>
      <t xml:space="preserve">・調査の水稲作付面積は飼料用米・</t>
    </r>
    <r>
      <rPr>
        <sz val="10"/>
        <rFont val="Meiryo"/>
        <family val="0"/>
        <charset val="1"/>
      </rPr>
      <t xml:space="preserve">WCS</t>
    </r>
    <r>
      <rPr>
        <sz val="10"/>
        <rFont val="WenQuanYi Zen Hei"/>
        <family val="2"/>
      </rPr>
      <t xml:space="preserve">用稲・子実前刈取用稲を含むため、作物統計の水稲（子実用）作付面積とは一致しない。</t>
    </r>
  </si>
  <si>
    <r>
      <rPr>
        <sz val="10"/>
        <rFont val="WenQuanYi Zen Hei"/>
        <family val="2"/>
      </rPr>
      <t xml:space="preserve">・令和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年産は乾田・湛水の内訳の確認が一部不十分なため、内訳の和と合計が一致しない（農水省注記）。</t>
    </r>
  </si>
  <si>
    <t xml:space="preserve">・青字＝出典からの転記値、黒字＝数式による計算値。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</si>
</sst>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@"/>
    <numFmt numFmtId="167" formatCode="#,##0"/>
    <numFmt numFmtId="168" formatCode="0.0%"/>
    <numFmt numFmtId="169" formatCode="#,##0.0"/>
    <numFmt numFmtId="170" formatCode="0.00%"/>
    <numFmt numFmtId="171" formatCode="0.0"/>
    <numFmt numFmtId="172" formatCode="\+#,##0;\-#,##0;0"/>
    <numFmt numFmtId="173" formatCode="\+0.0%;\-0.0%;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Meiryo"/>
      <family val="0"/>
      <charset val="1"/>
    </font>
    <font>
      <sz val="9"/>
      <color rgb="FF5B6470"/>
      <name val="Meiryo"/>
      <family val="0"/>
      <charset val="1"/>
    </font>
    <font>
      <sz val="9"/>
      <color rgb="FF5B6470"/>
      <name val="WenQuanYi Zen Hei"/>
      <family val="2"/>
    </font>
    <font>
      <b val="true"/>
      <sz val="10"/>
      <name val="WenQuanYi Zen Hei"/>
      <family val="2"/>
    </font>
    <font>
      <b val="true"/>
      <sz val="10"/>
      <name val="Meiryo"/>
      <family val="0"/>
      <charset val="1"/>
    </font>
    <font>
      <sz val="10"/>
      <color rgb="FF0000FF"/>
      <name val="Meiryo"/>
      <family val="0"/>
      <charset val="1"/>
    </font>
    <font>
      <sz val="10"/>
      <color rgb="FF0000FF"/>
      <name val="WenQuanYi Zen Hei"/>
      <family val="2"/>
    </font>
    <font>
      <sz val="10"/>
      <color rgb="FF000000"/>
      <name val="Meiryo"/>
      <family val="0"/>
      <charset val="1"/>
    </font>
    <font>
      <sz val="10"/>
      <color rgb="FF000000"/>
      <name val="WenQuanYi Zen Hei"/>
      <family val="2"/>
    </font>
    <font>
      <b val="true"/>
      <sz val="12"/>
      <name val="WenQuanYi Zen Hei"/>
      <family val="2"/>
    </font>
    <font>
      <sz val="10"/>
      <name val="WenQuanYi Zen Hei"/>
      <family val="2"/>
    </font>
    <font>
      <sz val="10"/>
      <name val="Meiryo"/>
      <family val="0"/>
      <charset val="1"/>
    </font>
    <font>
      <u val="single"/>
      <sz val="10"/>
      <color rgb="FF0563C1"/>
      <name val="Meiry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DE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BEC6"/>
      </left>
      <right style="thin">
        <color rgb="FFB8BEC6"/>
      </right>
      <top style="thin">
        <color rgb="FFB8BEC6"/>
      </top>
      <bottom style="thin">
        <color rgb="FFB8BE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EC6"/>
      <rgbColor rgb="FF808080"/>
      <rgbColor rgb="FF9999FF"/>
      <rgbColor rgb="FF993366"/>
      <rgbColor rgb="FFE8EDE3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163080</xdr:rowOff>
    </xdr:from>
    <xdr:to>
      <xdr:col>10</xdr:col>
      <xdr:colOff>394200</xdr:colOff>
      <xdr:row>61</xdr:row>
      <xdr:rowOff>10440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7095960"/>
          <a:ext cx="8572320" cy="4800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163080</xdr:rowOff>
    </xdr:from>
    <xdr:to>
      <xdr:col>8</xdr:col>
      <xdr:colOff>677880</xdr:colOff>
      <xdr:row>37</xdr:row>
      <xdr:rowOff>10440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2523960"/>
          <a:ext cx="8572320" cy="4800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163080</xdr:rowOff>
    </xdr:from>
    <xdr:to>
      <xdr:col>10</xdr:col>
      <xdr:colOff>392400</xdr:colOff>
      <xdr:row>40</xdr:row>
      <xdr:rowOff>10440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095640"/>
          <a:ext cx="8572320" cy="4800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176040</xdr:rowOff>
    </xdr:from>
    <xdr:to>
      <xdr:col>10</xdr:col>
      <xdr:colOff>439920</xdr:colOff>
      <xdr:row>38</xdr:row>
      <xdr:rowOff>23400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2714760"/>
          <a:ext cx="8572320" cy="4800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maff.go.jp/j/syouan/keikaku/soukatu/chokuha.html" TargetMode="External"/><Relationship Id="rId2" Type="http://schemas.openxmlformats.org/officeDocument/2006/relationships/hyperlink" Target="https://www.maff.go.jp/j/nousin/attach/pdf/tauehuyou_cs-20.pdf" TargetMode="External"/><Relationship Id="rId3" Type="http://schemas.openxmlformats.org/officeDocument/2006/relationships/hyperlink" Target="https://www.e-stat.go.jp/stat-search/files?page=1&amp;layout=datalist&amp;lid=00000148791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5" min="3" style="0" width="15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1995</v>
      </c>
      <c r="B5" s="5" t="s">
        <v>9</v>
      </c>
      <c r="C5" s="6" t="n">
        <v>4890</v>
      </c>
      <c r="D5" s="6" t="n">
        <v>2610</v>
      </c>
      <c r="E5" s="6" t="n">
        <v>7500</v>
      </c>
      <c r="F5" s="7" t="n">
        <f aca="false">IFERROR(C5/E5,"")</f>
        <v>0.652</v>
      </c>
      <c r="G5" s="5" t="s">
        <v>10</v>
      </c>
    </row>
    <row r="6" customFormat="false" ht="15" hidden="false" customHeight="false" outlineLevel="0" collapsed="false">
      <c r="A6" s="4" t="n">
        <v>1996</v>
      </c>
      <c r="B6" s="5" t="s">
        <v>11</v>
      </c>
      <c r="C6" s="6" t="n">
        <v>4500</v>
      </c>
      <c r="D6" s="6" t="n">
        <v>2820</v>
      </c>
      <c r="E6" s="6" t="n">
        <v>7320</v>
      </c>
      <c r="F6" s="7" t="n">
        <f aca="false">IFERROR(C6/E6,"")</f>
        <v>0.614754098360656</v>
      </c>
      <c r="G6" s="5" t="s">
        <v>10</v>
      </c>
    </row>
    <row r="7" customFormat="false" ht="15" hidden="false" customHeight="false" outlineLevel="0" collapsed="false">
      <c r="A7" s="4" t="n">
        <v>1997</v>
      </c>
      <c r="B7" s="5" t="s">
        <v>12</v>
      </c>
      <c r="C7" s="6" t="n">
        <v>4530</v>
      </c>
      <c r="D7" s="6" t="n">
        <v>3150</v>
      </c>
      <c r="E7" s="6" t="n">
        <v>7680</v>
      </c>
      <c r="F7" s="7" t="n">
        <f aca="false">IFERROR(C7/E7,"")</f>
        <v>0.58984375</v>
      </c>
      <c r="G7" s="5" t="s">
        <v>10</v>
      </c>
    </row>
    <row r="8" customFormat="false" ht="15" hidden="false" customHeight="false" outlineLevel="0" collapsed="false">
      <c r="A8" s="4" t="n">
        <v>1998</v>
      </c>
      <c r="B8" s="5" t="s">
        <v>13</v>
      </c>
      <c r="C8" s="6" t="n">
        <v>4330</v>
      </c>
      <c r="D8" s="6" t="n">
        <v>3660</v>
      </c>
      <c r="E8" s="6" t="n">
        <v>7980</v>
      </c>
      <c r="F8" s="7" t="n">
        <f aca="false">IFERROR(C8/E8,"")</f>
        <v>0.542606516290727</v>
      </c>
      <c r="G8" s="5" t="s">
        <v>10</v>
      </c>
    </row>
    <row r="9" customFormat="false" ht="15" hidden="false" customHeight="false" outlineLevel="0" collapsed="false">
      <c r="A9" s="4" t="n">
        <v>1999</v>
      </c>
      <c r="B9" s="5" t="s">
        <v>14</v>
      </c>
      <c r="C9" s="6" t="n">
        <v>4500</v>
      </c>
      <c r="D9" s="6" t="n">
        <v>4160</v>
      </c>
      <c r="E9" s="6" t="n">
        <v>8670</v>
      </c>
      <c r="F9" s="7" t="n">
        <f aca="false">IFERROR(C9/E9,"")</f>
        <v>0.519031141868512</v>
      </c>
      <c r="G9" s="5" t="s">
        <v>10</v>
      </c>
    </row>
    <row r="10" customFormat="false" ht="15" hidden="false" customHeight="false" outlineLevel="0" collapsed="false">
      <c r="A10" s="4" t="n">
        <v>2000</v>
      </c>
      <c r="B10" s="5" t="s">
        <v>15</v>
      </c>
      <c r="C10" s="6" t="n">
        <v>4450</v>
      </c>
      <c r="D10" s="6" t="n">
        <v>4500</v>
      </c>
      <c r="E10" s="6" t="n">
        <v>8950</v>
      </c>
      <c r="F10" s="7" t="n">
        <f aca="false">IFERROR(C10/E10,"")</f>
        <v>0.497206703910615</v>
      </c>
      <c r="G10" s="5" t="s">
        <v>10</v>
      </c>
    </row>
    <row r="11" customFormat="false" ht="15" hidden="false" customHeight="false" outlineLevel="0" collapsed="false">
      <c r="A11" s="4" t="n">
        <v>2001</v>
      </c>
      <c r="B11" s="5" t="s">
        <v>16</v>
      </c>
      <c r="C11" s="6" t="n">
        <v>4550</v>
      </c>
      <c r="D11" s="6" t="n">
        <v>5640</v>
      </c>
      <c r="E11" s="6" t="n">
        <v>10190</v>
      </c>
      <c r="F11" s="7" t="n">
        <f aca="false">IFERROR(C11/E11,"")</f>
        <v>0.446516192345437</v>
      </c>
      <c r="G11" s="5" t="s">
        <v>10</v>
      </c>
    </row>
    <row r="12" customFormat="false" ht="15" hidden="false" customHeight="false" outlineLevel="0" collapsed="false">
      <c r="A12" s="4" t="n">
        <v>2002</v>
      </c>
      <c r="B12" s="5" t="s">
        <v>17</v>
      </c>
      <c r="C12" s="6" t="n">
        <v>4760</v>
      </c>
      <c r="D12" s="6" t="n">
        <v>6790</v>
      </c>
      <c r="E12" s="6" t="n">
        <v>11540</v>
      </c>
      <c r="F12" s="7" t="n">
        <f aca="false">IFERROR(C12/E12,"")</f>
        <v>0.412478336221837</v>
      </c>
      <c r="G12" s="5" t="s">
        <v>10</v>
      </c>
    </row>
    <row r="13" customFormat="false" ht="15" hidden="false" customHeight="false" outlineLevel="0" collapsed="false">
      <c r="A13" s="4" t="n">
        <v>2003</v>
      </c>
      <c r="B13" s="5" t="s">
        <v>18</v>
      </c>
      <c r="C13" s="6" t="n">
        <v>4810</v>
      </c>
      <c r="D13" s="6" t="n">
        <v>8340</v>
      </c>
      <c r="E13" s="6" t="n">
        <v>13150</v>
      </c>
      <c r="F13" s="7" t="n">
        <f aca="false">IFERROR(C13/E13,"")</f>
        <v>0.365779467680608</v>
      </c>
      <c r="G13" s="5" t="s">
        <v>10</v>
      </c>
    </row>
    <row r="14" customFormat="false" ht="15" hidden="false" customHeight="false" outlineLevel="0" collapsed="false">
      <c r="A14" s="4" t="n">
        <v>2004</v>
      </c>
      <c r="B14" s="5" t="s">
        <v>19</v>
      </c>
      <c r="C14" s="6" t="n">
        <v>5190</v>
      </c>
      <c r="D14" s="6" t="n">
        <v>9630</v>
      </c>
      <c r="E14" s="6" t="n">
        <v>14820</v>
      </c>
      <c r="F14" s="7" t="n">
        <f aca="false">IFERROR(C14/E14,"")</f>
        <v>0.350202429149798</v>
      </c>
      <c r="G14" s="5" t="s">
        <v>10</v>
      </c>
    </row>
    <row r="15" customFormat="false" ht="15" hidden="false" customHeight="false" outlineLevel="0" collapsed="false">
      <c r="A15" s="4" t="n">
        <v>2005</v>
      </c>
      <c r="B15" s="5" t="s">
        <v>20</v>
      </c>
      <c r="C15" s="6" t="n">
        <v>5550</v>
      </c>
      <c r="D15" s="6" t="n">
        <v>10190</v>
      </c>
      <c r="E15" s="6" t="n">
        <v>15740</v>
      </c>
      <c r="F15" s="7" t="n">
        <f aca="false">IFERROR(C15/E15,"")</f>
        <v>0.352604828462516</v>
      </c>
      <c r="G15" s="5" t="s">
        <v>10</v>
      </c>
    </row>
    <row r="16" customFormat="false" ht="15" hidden="false" customHeight="false" outlineLevel="0" collapsed="false">
      <c r="A16" s="4" t="n">
        <v>2006</v>
      </c>
      <c r="B16" s="5" t="s">
        <v>21</v>
      </c>
      <c r="C16" s="6" t="n">
        <v>5340</v>
      </c>
      <c r="D16" s="6" t="n">
        <v>10550</v>
      </c>
      <c r="E16" s="6" t="n">
        <v>15890</v>
      </c>
      <c r="F16" s="7" t="n">
        <f aca="false">IFERROR(C16/E16,"")</f>
        <v>0.33606041535557</v>
      </c>
      <c r="G16" s="5" t="s">
        <v>10</v>
      </c>
    </row>
    <row r="17" customFormat="false" ht="15" hidden="false" customHeight="false" outlineLevel="0" collapsed="false">
      <c r="A17" s="4" t="n">
        <v>2007</v>
      </c>
      <c r="B17" s="5" t="s">
        <v>22</v>
      </c>
      <c r="C17" s="6" t="n">
        <v>5600</v>
      </c>
      <c r="D17" s="6" t="n">
        <v>11770</v>
      </c>
      <c r="E17" s="6" t="n">
        <v>17370</v>
      </c>
      <c r="F17" s="7" t="n">
        <f aca="false">IFERROR(C17/E17,"")</f>
        <v>0.322394933793898</v>
      </c>
      <c r="G17" s="5" t="s">
        <v>10</v>
      </c>
    </row>
    <row r="18" customFormat="false" ht="15" hidden="false" customHeight="false" outlineLevel="0" collapsed="false">
      <c r="A18" s="4" t="n">
        <v>2008</v>
      </c>
      <c r="B18" s="5" t="s">
        <v>23</v>
      </c>
      <c r="C18" s="6" t="n">
        <v>6110</v>
      </c>
      <c r="D18" s="6" t="n">
        <v>12480</v>
      </c>
      <c r="E18" s="6" t="n">
        <v>18590</v>
      </c>
      <c r="F18" s="7" t="n">
        <f aca="false">IFERROR(C18/E18,"")</f>
        <v>0.328671328671329</v>
      </c>
      <c r="G18" s="5" t="s">
        <v>10</v>
      </c>
    </row>
    <row r="19" customFormat="false" ht="15" hidden="false" customHeight="false" outlineLevel="0" collapsed="false">
      <c r="A19" s="4" t="n">
        <v>2009</v>
      </c>
      <c r="B19" s="5" t="s">
        <v>24</v>
      </c>
      <c r="C19" s="6" t="n">
        <v>6820</v>
      </c>
      <c r="D19" s="6" t="n">
        <v>13040</v>
      </c>
      <c r="E19" s="6" t="n">
        <v>19860</v>
      </c>
      <c r="F19" s="7" t="n">
        <f aca="false">IFERROR(C19/E19,"")</f>
        <v>0.343403826787513</v>
      </c>
      <c r="G19" s="5" t="s">
        <v>10</v>
      </c>
    </row>
    <row r="20" customFormat="false" ht="15" hidden="false" customHeight="false" outlineLevel="0" collapsed="false">
      <c r="A20" s="4" t="n">
        <v>2010</v>
      </c>
      <c r="B20" s="5" t="s">
        <v>25</v>
      </c>
      <c r="C20" s="6" t="n">
        <v>7890</v>
      </c>
      <c r="D20" s="6" t="n">
        <v>13630</v>
      </c>
      <c r="E20" s="6" t="n">
        <v>21520</v>
      </c>
      <c r="F20" s="7" t="n">
        <f aca="false">IFERROR(C20/E20,"")</f>
        <v>0.366635687732342</v>
      </c>
      <c r="G20" s="5" t="s">
        <v>10</v>
      </c>
    </row>
    <row r="21" customFormat="false" ht="15" hidden="false" customHeight="false" outlineLevel="0" collapsed="false">
      <c r="A21" s="4" t="n">
        <v>2011</v>
      </c>
      <c r="B21" s="5" t="s">
        <v>26</v>
      </c>
      <c r="C21" s="6" t="n">
        <v>8420</v>
      </c>
      <c r="D21" s="6" t="n">
        <v>14190</v>
      </c>
      <c r="E21" s="6" t="n">
        <v>22610</v>
      </c>
      <c r="F21" s="7" t="n">
        <f aca="false">IFERROR(C21/E21,"")</f>
        <v>0.372401592215834</v>
      </c>
      <c r="G21" s="5" t="s">
        <v>10</v>
      </c>
    </row>
    <row r="22" customFormat="false" ht="15" hidden="false" customHeight="false" outlineLevel="0" collapsed="false">
      <c r="A22" s="4" t="n">
        <v>2012</v>
      </c>
      <c r="B22" s="5" t="s">
        <v>27</v>
      </c>
      <c r="C22" s="6" t="n">
        <v>8470</v>
      </c>
      <c r="D22" s="6" t="n">
        <v>15160</v>
      </c>
      <c r="E22" s="6" t="n">
        <v>23630</v>
      </c>
      <c r="F22" s="7" t="n">
        <f aca="false">IFERROR(C22/E22,"")</f>
        <v>0.358442657638595</v>
      </c>
      <c r="G22" s="5" t="s">
        <v>10</v>
      </c>
    </row>
    <row r="23" customFormat="false" ht="15" hidden="false" customHeight="false" outlineLevel="0" collapsed="false">
      <c r="A23" s="4" t="n">
        <v>2013</v>
      </c>
      <c r="B23" s="5" t="s">
        <v>28</v>
      </c>
      <c r="C23" s="6" t="n">
        <v>8500</v>
      </c>
      <c r="D23" s="6" t="n">
        <v>17270</v>
      </c>
      <c r="E23" s="6" t="n">
        <v>25760</v>
      </c>
      <c r="F23" s="7" t="n">
        <f aca="false">IFERROR(C23/E23,"")</f>
        <v>0.329968944099379</v>
      </c>
      <c r="G23" s="5" t="s">
        <v>10</v>
      </c>
    </row>
    <row r="24" customFormat="false" ht="15" hidden="false" customHeight="false" outlineLevel="0" collapsed="false">
      <c r="A24" s="4" t="n">
        <v>2014</v>
      </c>
      <c r="B24" s="5" t="s">
        <v>29</v>
      </c>
      <c r="C24" s="6" t="n">
        <v>8850</v>
      </c>
      <c r="D24" s="6" t="n">
        <v>18180</v>
      </c>
      <c r="E24" s="6" t="n">
        <v>27040</v>
      </c>
      <c r="F24" s="7" t="n">
        <f aca="false">IFERROR(C24/E24,"")</f>
        <v>0.327292899408284</v>
      </c>
      <c r="G24" s="5" t="s">
        <v>10</v>
      </c>
    </row>
    <row r="25" customFormat="false" ht="15" hidden="false" customHeight="false" outlineLevel="0" collapsed="false">
      <c r="A25" s="4" t="n">
        <v>2015</v>
      </c>
      <c r="B25" s="5" t="s">
        <v>30</v>
      </c>
      <c r="C25" s="6" t="n">
        <v>9030</v>
      </c>
      <c r="D25" s="6" t="n">
        <v>21130</v>
      </c>
      <c r="E25" s="6" t="n">
        <v>30170</v>
      </c>
      <c r="F25" s="7" t="n">
        <f aca="false">IFERROR(C25/E25,"")</f>
        <v>0.299303944315545</v>
      </c>
      <c r="G25" s="5" t="s">
        <v>10</v>
      </c>
    </row>
    <row r="26" customFormat="false" ht="15" hidden="false" customHeight="false" outlineLevel="0" collapsed="false">
      <c r="A26" s="4" t="n">
        <v>2016</v>
      </c>
      <c r="B26" s="5" t="s">
        <v>31</v>
      </c>
      <c r="C26" s="6" t="n">
        <v>9360</v>
      </c>
      <c r="D26" s="6" t="n">
        <v>22690</v>
      </c>
      <c r="E26" s="6" t="n">
        <v>32050</v>
      </c>
      <c r="F26" s="7" t="n">
        <f aca="false">IFERROR(C26/E26,"")</f>
        <v>0.29204368174727</v>
      </c>
      <c r="G26" s="5" t="s">
        <v>10</v>
      </c>
    </row>
    <row r="27" customFormat="false" ht="15" hidden="false" customHeight="false" outlineLevel="0" collapsed="false">
      <c r="A27" s="4" t="n">
        <v>2017</v>
      </c>
      <c r="B27" s="5" t="s">
        <v>32</v>
      </c>
      <c r="C27" s="6" t="n">
        <v>10360</v>
      </c>
      <c r="D27" s="6" t="n">
        <v>23070</v>
      </c>
      <c r="E27" s="6" t="n">
        <v>33420</v>
      </c>
      <c r="F27" s="7" t="n">
        <f aca="false">IFERROR(C27/E27,"")</f>
        <v>0.309994015559545</v>
      </c>
      <c r="G27" s="5" t="s">
        <v>10</v>
      </c>
    </row>
    <row r="28" customFormat="false" ht="15" hidden="false" customHeight="false" outlineLevel="0" collapsed="false">
      <c r="A28" s="4" t="n">
        <v>2018</v>
      </c>
      <c r="B28" s="5" t="s">
        <v>33</v>
      </c>
      <c r="C28" s="6" t="n">
        <v>12420</v>
      </c>
      <c r="D28" s="6" t="n">
        <v>22300</v>
      </c>
      <c r="E28" s="6" t="n">
        <v>34720</v>
      </c>
      <c r="F28" s="7" t="n">
        <f aca="false">IFERROR(C28/E28,"")</f>
        <v>0.357718894009217</v>
      </c>
      <c r="G28" s="5" t="s">
        <v>10</v>
      </c>
    </row>
    <row r="29" customFormat="false" ht="15" hidden="false" customHeight="false" outlineLevel="0" collapsed="false">
      <c r="A29" s="4" t="n">
        <v>2019</v>
      </c>
      <c r="B29" s="5" t="s">
        <v>34</v>
      </c>
      <c r="C29" s="6" t="n">
        <v>14156.3</v>
      </c>
      <c r="D29" s="6" t="n">
        <v>21669.3</v>
      </c>
      <c r="E29" s="6" t="n">
        <v>35825.6</v>
      </c>
      <c r="F29" s="7" t="n">
        <f aca="false">IFERROR(C29/E29,"")</f>
        <v>0.395144812647939</v>
      </c>
      <c r="G29" s="5" t="s">
        <v>35</v>
      </c>
    </row>
    <row r="30" customFormat="false" ht="15" hidden="false" customHeight="false" outlineLevel="0" collapsed="false">
      <c r="A30" s="4" t="n">
        <v>2020</v>
      </c>
      <c r="B30" s="5" t="s">
        <v>36</v>
      </c>
      <c r="C30" s="6" t="n">
        <v>14630.9</v>
      </c>
      <c r="D30" s="6" t="n">
        <v>20160.8</v>
      </c>
      <c r="E30" s="6" t="n">
        <v>34853.7</v>
      </c>
      <c r="F30" s="7" t="n">
        <f aca="false">IFERROR(C30/E30,"")</f>
        <v>0.419780396342426</v>
      </c>
      <c r="G30" s="5" t="s">
        <v>35</v>
      </c>
    </row>
    <row r="31" customFormat="false" ht="15" hidden="false" customHeight="false" outlineLevel="0" collapsed="false">
      <c r="A31" s="4" t="n">
        <v>2021</v>
      </c>
      <c r="B31" s="5" t="s">
        <v>37</v>
      </c>
      <c r="C31" s="6" t="n">
        <v>15986.8</v>
      </c>
      <c r="D31" s="6" t="n">
        <v>19382.9</v>
      </c>
      <c r="E31" s="6" t="n">
        <v>35369.7</v>
      </c>
      <c r="F31" s="7" t="n">
        <f aca="false">IFERROR(C31/E31,"")</f>
        <v>0.451991393763589</v>
      </c>
      <c r="G31" s="5" t="s">
        <v>35</v>
      </c>
    </row>
    <row r="32" customFormat="false" ht="15" hidden="false" customHeight="false" outlineLevel="0" collapsed="false">
      <c r="A32" s="4" t="n">
        <v>2022</v>
      </c>
      <c r="B32" s="5" t="s">
        <v>38</v>
      </c>
      <c r="C32" s="6" t="n">
        <v>17353.4</v>
      </c>
      <c r="D32" s="6" t="n">
        <v>19107.5</v>
      </c>
      <c r="E32" s="6" t="n">
        <v>36680.9</v>
      </c>
      <c r="F32" s="7" t="n">
        <f aca="false">IFERROR(C32/E32,"")</f>
        <v>0.473090900168753</v>
      </c>
      <c r="G32" s="5" t="s">
        <v>35</v>
      </c>
    </row>
    <row r="33" customFormat="false" ht="15" hidden="false" customHeight="false" outlineLevel="0" collapsed="false">
      <c r="A33" s="4" t="n">
        <v>2023</v>
      </c>
      <c r="B33" s="5" t="s">
        <v>39</v>
      </c>
      <c r="C33" s="6" t="n">
        <v>19677.7</v>
      </c>
      <c r="D33" s="6" t="n">
        <v>18960.3</v>
      </c>
      <c r="E33" s="6" t="n">
        <v>38638</v>
      </c>
      <c r="F33" s="7" t="n">
        <f aca="false">IFERROR(C33/E33,"")</f>
        <v>0.509283606811947</v>
      </c>
      <c r="G33" s="5" t="s">
        <v>35</v>
      </c>
    </row>
    <row r="34" customFormat="false" ht="15" hidden="false" customHeight="false" outlineLevel="0" collapsed="false">
      <c r="A34" s="4" t="n">
        <v>2024</v>
      </c>
      <c r="B34" s="5" t="s">
        <v>40</v>
      </c>
      <c r="C34" s="6" t="n">
        <v>23041.9</v>
      </c>
      <c r="D34" s="6" t="n">
        <v>18556.9</v>
      </c>
      <c r="E34" s="6" t="n">
        <v>41656.7</v>
      </c>
      <c r="F34" s="7" t="n">
        <f aca="false">IFERROR(C34/E34,"")</f>
        <v>0.553137910588213</v>
      </c>
      <c r="G34" s="5" t="s">
        <v>35</v>
      </c>
    </row>
    <row r="35" customFormat="false" ht="15" hidden="false" customHeight="false" outlineLevel="0" collapsed="false">
      <c r="A35" s="8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6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8" t="s">
        <v>43</v>
      </c>
    </row>
    <row r="4" customFormat="false" ht="33.75" hidden="false" customHeight="true" outlineLevel="0" collapsed="false">
      <c r="A4" s="3" t="s">
        <v>2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</row>
    <row r="5" customFormat="false" ht="15" hidden="false" customHeight="false" outlineLevel="0" collapsed="false">
      <c r="A5" s="4" t="n">
        <v>2019</v>
      </c>
      <c r="B5" s="6" t="n">
        <v>1584546</v>
      </c>
      <c r="C5" s="9" t="n">
        <v>35825.6</v>
      </c>
      <c r="D5" s="9" t="n">
        <v>14156.3</v>
      </c>
      <c r="E5" s="10" t="n">
        <f aca="false">B5-C5</f>
        <v>1548720.4</v>
      </c>
      <c r="F5" s="11" t="n">
        <f aca="false">C5/B5</f>
        <v>0.0226093783329736</v>
      </c>
      <c r="G5" s="12" t="n">
        <f aca="false">E5/$E$5*100</f>
        <v>100</v>
      </c>
      <c r="H5" s="12" t="n">
        <f aca="false">C5/$C$5*100</f>
        <v>100</v>
      </c>
      <c r="I5" s="12" t="n">
        <f aca="false">D5/$D$5*100</f>
        <v>100</v>
      </c>
    </row>
    <row r="6" customFormat="false" ht="15" hidden="false" customHeight="false" outlineLevel="0" collapsed="false">
      <c r="A6" s="4" t="n">
        <v>2020</v>
      </c>
      <c r="B6" s="6" t="n">
        <v>1575087</v>
      </c>
      <c r="C6" s="9" t="n">
        <v>34853.7</v>
      </c>
      <c r="D6" s="9" t="n">
        <v>14630.9</v>
      </c>
      <c r="E6" s="10" t="n">
        <f aca="false">B6-C6</f>
        <v>1540233.3</v>
      </c>
      <c r="F6" s="11" t="n">
        <f aca="false">C6/B6</f>
        <v>0.0221281110186294</v>
      </c>
      <c r="G6" s="12" t="n">
        <f aca="false">E6/$E$5*100</f>
        <v>99.4519927547929</v>
      </c>
      <c r="H6" s="12" t="n">
        <f aca="false">C6/$C$5*100</f>
        <v>97.2871354562101</v>
      </c>
      <c r="I6" s="12" t="n">
        <f aca="false">D6/$D$5*100</f>
        <v>103.352570940147</v>
      </c>
    </row>
    <row r="7" customFormat="false" ht="15" hidden="false" customHeight="false" outlineLevel="0" collapsed="false">
      <c r="A7" s="4" t="n">
        <v>2021</v>
      </c>
      <c r="B7" s="6" t="n">
        <v>1563551</v>
      </c>
      <c r="C7" s="9" t="n">
        <v>35369.7</v>
      </c>
      <c r="D7" s="9" t="n">
        <v>15986.8</v>
      </c>
      <c r="E7" s="10" t="n">
        <f aca="false">B7-C7</f>
        <v>1528181.3</v>
      </c>
      <c r="F7" s="11" t="n">
        <f aca="false">C7/B7</f>
        <v>0.0226213919469208</v>
      </c>
      <c r="G7" s="12" t="n">
        <f aca="false">E7/$E$5*100</f>
        <v>98.6738019335188</v>
      </c>
      <c r="H7" s="12" t="n">
        <f aca="false">C7/$C$5*100</f>
        <v>98.7274462953865</v>
      </c>
      <c r="I7" s="12" t="n">
        <f aca="false">D7/$D$5*100</f>
        <v>112.930638655581</v>
      </c>
    </row>
    <row r="8" customFormat="false" ht="15" hidden="false" customHeight="false" outlineLevel="0" collapsed="false">
      <c r="A8" s="4" t="n">
        <v>2022</v>
      </c>
      <c r="B8" s="6" t="n">
        <v>1545427</v>
      </c>
      <c r="C8" s="9" t="n">
        <v>36680.9</v>
      </c>
      <c r="D8" s="9" t="n">
        <v>17353.4</v>
      </c>
      <c r="E8" s="10" t="n">
        <f aca="false">B8-C8</f>
        <v>1508746.1</v>
      </c>
      <c r="F8" s="11" t="n">
        <f aca="false">C8/B8</f>
        <v>0.0237351230436637</v>
      </c>
      <c r="G8" s="12" t="n">
        <f aca="false">E8/$E$5*100</f>
        <v>97.4188820654781</v>
      </c>
      <c r="H8" s="12" t="n">
        <f aca="false">C8/$C$5*100</f>
        <v>102.387398954937</v>
      </c>
      <c r="I8" s="12" t="n">
        <f aca="false">D8/$D$5*100</f>
        <v>122.584291093012</v>
      </c>
    </row>
    <row r="9" customFormat="false" ht="15" hidden="false" customHeight="false" outlineLevel="0" collapsed="false">
      <c r="A9" s="4" t="n">
        <v>2023</v>
      </c>
      <c r="B9" s="6" t="n">
        <v>1531562</v>
      </c>
      <c r="C9" s="9" t="n">
        <v>38638</v>
      </c>
      <c r="D9" s="9" t="n">
        <v>19677.7</v>
      </c>
      <c r="E9" s="10" t="n">
        <f aca="false">B9-C9</f>
        <v>1492924</v>
      </c>
      <c r="F9" s="11" t="n">
        <f aca="false">C9/B9</f>
        <v>0.0252278392908678</v>
      </c>
      <c r="G9" s="12" t="n">
        <f aca="false">E9/$E$5*100</f>
        <v>96.397258020234</v>
      </c>
      <c r="H9" s="12" t="n">
        <f aca="false">C9/$C$5*100</f>
        <v>107.850252333527</v>
      </c>
      <c r="I9" s="12" t="n">
        <f aca="false">D9/$D$5*100</f>
        <v>139.003129348771</v>
      </c>
    </row>
    <row r="10" customFormat="false" ht="15" hidden="false" customHeight="false" outlineLevel="0" collapsed="false">
      <c r="A10" s="4" t="n">
        <v>2024</v>
      </c>
      <c r="B10" s="6" t="n">
        <v>1514380</v>
      </c>
      <c r="C10" s="9" t="n">
        <v>41656.7</v>
      </c>
      <c r="D10" s="9" t="n">
        <v>23041.9</v>
      </c>
      <c r="E10" s="10" t="n">
        <f aca="false">B10-C10</f>
        <v>1472723.3</v>
      </c>
      <c r="F10" s="11" t="n">
        <f aca="false">C10/B10</f>
        <v>0.0275074287827362</v>
      </c>
      <c r="G10" s="12" t="n">
        <f aca="false">E10/$E$5*100</f>
        <v>95.0929102502944</v>
      </c>
      <c r="H10" s="12" t="n">
        <f aca="false">C10/$C$5*100</f>
        <v>116.276349872717</v>
      </c>
      <c r="I10" s="12" t="n">
        <f aca="false">D10/$D$5*100</f>
        <v>162.767813623616</v>
      </c>
    </row>
    <row r="11" customFormat="false" ht="15" hidden="false" customHeight="false" outlineLevel="0" collapsed="false">
      <c r="A11" s="8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10"/>
  </cols>
  <sheetData>
    <row r="1" customFormat="false" ht="17.15" hidden="false" customHeight="false" outlineLevel="0" collapsed="false">
      <c r="A1" s="1" t="s">
        <v>52</v>
      </c>
    </row>
    <row r="2" customFormat="false" ht="15" hidden="false" customHeight="false" outlineLevel="0" collapsed="false">
      <c r="A2" s="8" t="s">
        <v>53</v>
      </c>
    </row>
    <row r="4" customFormat="false" ht="33.75" hidden="false" customHeight="true" outlineLevel="0" collapsed="false">
      <c r="A4" s="3" t="s">
        <v>54</v>
      </c>
      <c r="B4" s="3" t="s">
        <v>44</v>
      </c>
      <c r="C4" s="3" t="s">
        <v>45</v>
      </c>
      <c r="D4" s="3" t="s">
        <v>55</v>
      </c>
    </row>
    <row r="5" customFormat="false" ht="15" hidden="false" customHeight="false" outlineLevel="0" collapsed="false">
      <c r="A5" s="5" t="s">
        <v>56</v>
      </c>
      <c r="B5" s="6" t="n">
        <v>102800</v>
      </c>
      <c r="C5" s="9" t="n">
        <v>6270.2</v>
      </c>
      <c r="D5" s="7" t="n">
        <f aca="false">C5/B5</f>
        <v>0.0609941634241245</v>
      </c>
    </row>
    <row r="6" customFormat="false" ht="15" hidden="false" customHeight="false" outlineLevel="0" collapsed="false">
      <c r="A6" s="5" t="s">
        <v>57</v>
      </c>
      <c r="B6" s="6" t="n">
        <v>400100</v>
      </c>
      <c r="C6" s="9" t="n">
        <v>12784.3</v>
      </c>
      <c r="D6" s="7" t="n">
        <f aca="false">C6/B6</f>
        <v>0.0319527618095476</v>
      </c>
    </row>
    <row r="7" customFormat="false" ht="15" hidden="false" customHeight="false" outlineLevel="0" collapsed="false">
      <c r="A7" s="5" t="s">
        <v>58</v>
      </c>
      <c r="B7" s="6" t="n">
        <v>205300</v>
      </c>
      <c r="C7" s="9" t="n">
        <v>9480.1</v>
      </c>
      <c r="D7" s="7" t="n">
        <f aca="false">C7/B7</f>
        <v>0.046176814417925</v>
      </c>
    </row>
    <row r="8" customFormat="false" ht="15" hidden="false" customHeight="false" outlineLevel="0" collapsed="false">
      <c r="A8" s="5" t="s">
        <v>59</v>
      </c>
      <c r="B8" s="6" t="n">
        <v>300977</v>
      </c>
      <c r="C8" s="9" t="n">
        <v>2215.5</v>
      </c>
      <c r="D8" s="7" t="n">
        <f aca="false">C8/B8</f>
        <v>0.00736102758682557</v>
      </c>
    </row>
    <row r="9" customFormat="false" ht="15" hidden="false" customHeight="false" outlineLevel="0" collapsed="false">
      <c r="A9" s="5" t="s">
        <v>60</v>
      </c>
      <c r="B9" s="6" t="n">
        <v>78900</v>
      </c>
      <c r="C9" s="9" t="n">
        <v>5968.8</v>
      </c>
      <c r="D9" s="7" t="n">
        <f aca="false">C9/B9</f>
        <v>0.0756501901140684</v>
      </c>
    </row>
    <row r="10" customFormat="false" ht="15" hidden="false" customHeight="false" outlineLevel="0" collapsed="false">
      <c r="A10" s="5" t="s">
        <v>61</v>
      </c>
      <c r="B10" s="6" t="n">
        <v>97960</v>
      </c>
      <c r="C10" s="9" t="n">
        <v>968.4</v>
      </c>
      <c r="D10" s="7" t="n">
        <f aca="false">C10/B10</f>
        <v>0.00988566761943651</v>
      </c>
    </row>
    <row r="11" customFormat="false" ht="15" hidden="false" customHeight="false" outlineLevel="0" collapsed="false">
      <c r="A11" s="5" t="s">
        <v>62</v>
      </c>
      <c r="B11" s="6" t="n">
        <v>146200</v>
      </c>
      <c r="C11" s="9" t="n">
        <v>2889.5</v>
      </c>
      <c r="D11" s="7" t="n">
        <f aca="false">C11/B11</f>
        <v>0.0197640218878249</v>
      </c>
    </row>
    <row r="12" customFormat="false" ht="15" hidden="false" customHeight="false" outlineLevel="0" collapsed="false">
      <c r="A12" s="5" t="s">
        <v>63</v>
      </c>
      <c r="B12" s="6" t="n">
        <v>181500</v>
      </c>
      <c r="C12" s="9" t="n">
        <v>1080.1</v>
      </c>
      <c r="D12" s="7" t="n">
        <f aca="false">C12/B12</f>
        <v>0.00595096418732782</v>
      </c>
    </row>
    <row r="13" customFormat="false" ht="15" hidden="false" customHeight="false" outlineLevel="0" collapsed="false">
      <c r="A13" s="5" t="s">
        <v>64</v>
      </c>
      <c r="B13" s="6" t="n">
        <v>1514380</v>
      </c>
      <c r="C13" s="9" t="n">
        <v>41656.7</v>
      </c>
      <c r="D13" s="7" t="n">
        <f aca="false">C13/B13</f>
        <v>0.0275074287827362</v>
      </c>
    </row>
    <row r="14" customFormat="false" ht="15" hidden="false" customHeight="false" outlineLevel="0" collapsed="false">
      <c r="A14" s="8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" t="s">
        <v>65</v>
      </c>
    </row>
    <row r="2" customFormat="false" ht="15" hidden="false" customHeight="false" outlineLevel="0" collapsed="false">
      <c r="A2" s="8" t="s">
        <v>66</v>
      </c>
    </row>
    <row r="4" customFormat="false" ht="33.75" hidden="false" customHeight="true" outlineLevel="0" collapsed="false">
      <c r="A4" s="3" t="s">
        <v>67</v>
      </c>
      <c r="B4" s="13" t="s">
        <v>68</v>
      </c>
      <c r="C4" s="13" t="s">
        <v>69</v>
      </c>
      <c r="D4" s="3" t="s">
        <v>70</v>
      </c>
      <c r="E4" s="3" t="s">
        <v>71</v>
      </c>
    </row>
    <row r="5" customFormat="false" ht="15" hidden="false" customHeight="false" outlineLevel="0" collapsed="false">
      <c r="A5" s="14" t="s">
        <v>72</v>
      </c>
      <c r="B5" s="6" t="n">
        <v>449804</v>
      </c>
      <c r="C5" s="6" t="n">
        <v>318544</v>
      </c>
      <c r="D5" s="15" t="n">
        <f aca="false">C5-B5</f>
        <v>-131260</v>
      </c>
      <c r="E5" s="16" t="n">
        <f aca="false">C5/B5-1</f>
        <v>-0.291815990964954</v>
      </c>
    </row>
    <row r="6" customFormat="false" ht="15" hidden="false" customHeight="false" outlineLevel="0" collapsed="false">
      <c r="A6" s="14" t="s">
        <v>73</v>
      </c>
      <c r="B6" s="6" t="n">
        <v>178127</v>
      </c>
      <c r="C6" s="6" t="n">
        <v>138880</v>
      </c>
      <c r="D6" s="15" t="n">
        <f aca="false">C6-B6</f>
        <v>-39247</v>
      </c>
      <c r="E6" s="16" t="n">
        <f aca="false">C6/B6-1</f>
        <v>-0.220331561189488</v>
      </c>
    </row>
    <row r="7" customFormat="false" ht="15" hidden="false" customHeight="false" outlineLevel="0" collapsed="false">
      <c r="A7" s="14" t="s">
        <v>74</v>
      </c>
      <c r="B7" s="6" t="n">
        <v>36164</v>
      </c>
      <c r="C7" s="6" t="n">
        <v>31468</v>
      </c>
      <c r="D7" s="15" t="n">
        <f aca="false">C7-B7</f>
        <v>-4696</v>
      </c>
      <c r="E7" s="16" t="n">
        <f aca="false">C7/B7-1</f>
        <v>-0.129852892379162</v>
      </c>
    </row>
    <row r="8" customFormat="false" ht="15" hidden="false" customHeight="false" outlineLevel="0" collapsed="false">
      <c r="A8" s="14" t="s">
        <v>75</v>
      </c>
      <c r="B8" s="6" t="n">
        <v>28002</v>
      </c>
      <c r="C8" s="6" t="n">
        <v>25939</v>
      </c>
      <c r="D8" s="15" t="n">
        <f aca="false">C8-B8</f>
        <v>-2063</v>
      </c>
      <c r="E8" s="16" t="n">
        <f aca="false">C8/B8-1</f>
        <v>-0.0736733090493537</v>
      </c>
    </row>
    <row r="9" customFormat="false" ht="15" hidden="false" customHeight="false" outlineLevel="0" collapsed="false">
      <c r="A9" s="14" t="s">
        <v>76</v>
      </c>
      <c r="B9" s="6" t="n">
        <v>9501</v>
      </c>
      <c r="C9" s="6" t="n">
        <v>9634</v>
      </c>
      <c r="D9" s="15" t="n">
        <f aca="false">C9-B9</f>
        <v>133</v>
      </c>
      <c r="E9" s="16" t="n">
        <f aca="false">C9/B9-1</f>
        <v>0.0139985264708977</v>
      </c>
    </row>
    <row r="10" customFormat="false" ht="15" hidden="false" customHeight="false" outlineLevel="0" collapsed="false">
      <c r="A10" s="14" t="s">
        <v>77</v>
      </c>
      <c r="B10" s="6" t="n">
        <v>12194</v>
      </c>
      <c r="C10" s="6" t="n">
        <v>13857</v>
      </c>
      <c r="D10" s="15" t="n">
        <f aca="false">C10-B10</f>
        <v>1663</v>
      </c>
      <c r="E10" s="16" t="n">
        <f aca="false">C10/B10-1</f>
        <v>0.136378546826308</v>
      </c>
    </row>
    <row r="11" customFormat="false" ht="15" hidden="false" customHeight="false" outlineLevel="0" collapsed="false">
      <c r="A11" s="17" t="s">
        <v>78</v>
      </c>
      <c r="B11" s="10" t="n">
        <f aca="false">SUM(B5:B10)</f>
        <v>713792</v>
      </c>
      <c r="C11" s="10" t="n">
        <f aca="false">SUM(C5:C10)</f>
        <v>538322</v>
      </c>
      <c r="D11" s="15" t="n">
        <f aca="false">C11-B11</f>
        <v>-175470</v>
      </c>
      <c r="E11" s="16" t="n">
        <f aca="false">C11/B11-1</f>
        <v>-0.245827916255716</v>
      </c>
    </row>
    <row r="12" customFormat="false" ht="15" hidden="false" customHeight="false" outlineLevel="0" collapsed="false">
      <c r="A12" s="8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8" t="s">
        <v>79</v>
      </c>
    </row>
    <row r="2" customFormat="false" ht="14.15" hidden="false" customHeight="false" outlineLevel="0" collapsed="false">
      <c r="A2" s="19" t="s">
        <v>80</v>
      </c>
      <c r="B2" s="20" t="s">
        <v>81</v>
      </c>
    </row>
    <row r="3" customFormat="false" ht="14.15" hidden="false" customHeight="false" outlineLevel="0" collapsed="false">
      <c r="A3" s="19" t="s">
        <v>82</v>
      </c>
      <c r="B3" s="20" t="s">
        <v>83</v>
      </c>
    </row>
    <row r="4" customFormat="false" ht="14.15" hidden="false" customHeight="false" outlineLevel="0" collapsed="false">
      <c r="A4" s="19" t="s">
        <v>84</v>
      </c>
      <c r="B4" s="20" t="s">
        <v>85</v>
      </c>
    </row>
    <row r="5" customFormat="false" ht="15" hidden="false" customHeight="false" outlineLevel="0" collapsed="false">
      <c r="A5" s="19"/>
    </row>
    <row r="6" customFormat="false" ht="15" hidden="false" customHeight="false" outlineLevel="0" collapsed="false">
      <c r="A6" s="18" t="s">
        <v>86</v>
      </c>
    </row>
    <row r="7" customFormat="false" ht="15" hidden="false" customHeight="false" outlineLevel="0" collapsed="false">
      <c r="A7" s="19" t="s">
        <v>87</v>
      </c>
    </row>
    <row r="8" customFormat="false" ht="15" hidden="false" customHeight="false" outlineLevel="0" collapsed="false">
      <c r="A8" s="19" t="s">
        <v>88</v>
      </c>
    </row>
    <row r="9" customFormat="false" ht="15" hidden="false" customHeight="false" outlineLevel="0" collapsed="false">
      <c r="A9" s="19" t="s">
        <v>89</v>
      </c>
    </row>
    <row r="10" customFormat="false" ht="15" hidden="false" customHeight="false" outlineLevel="0" collapsed="false">
      <c r="A10" s="19" t="s">
        <v>90</v>
      </c>
    </row>
    <row r="11" customFormat="false" ht="15" hidden="false" customHeight="false" outlineLevel="0" collapsed="false">
      <c r="A11" s="19" t="s">
        <v>91</v>
      </c>
    </row>
  </sheetData>
  <hyperlinks>
    <hyperlink ref="B2" r:id="rId1" display="https://www.maff.go.jp/j/syouan/keikaku/soukatu/chokuha.html"/>
    <hyperlink ref="B3" r:id="rId2" display="https://www.maff.go.jp/j/nousin/attach/pdf/tauehuyou_cs-20.pdf"/>
    <hyperlink ref="B4" r:id="rId3" display="https://www.e-stat.go.jp/stat-search/files?page=1&amp;layout=datalist&amp;lid=00000148791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2026-10-27T05:01:10Z</dcterms:created>
  <dc:creator>openpyxl</dc:creator>
  <dc:description/>
  <dc:language>en-US</dc:language>
  <cp:lastModifiedBy/>
  <dcterms:modified xsi:type="dcterms:W3CDTF">2026-10-27T05:01:10Z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